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triz de Trazabilidad" sheetId="1" state="visible" r:id="rId3"/>
    <sheet name="Resumen por Épica" sheetId="2" state="visible" r:id="rId4"/>
    <sheet name="Cobertura RNF" sheetId="3" state="visible" r:id="rId5"/>
  </sheets>
  <definedNames>
    <definedName function="false" hidden="true" localSheetId="2" name="_xlnm._FilterDatabase" vbProcedure="false">'Cobertura RNF'!$A$1:$F$30</definedName>
    <definedName function="false" hidden="true" localSheetId="0" name="_xlnm._FilterDatabase" vbProcedure="false">'Matriz de Trazabilidad'!$A$1:$M$200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<sst xmlns="http://schemas.openxmlformats.org/spreadsheetml/2006/main" count="2779" uniqueCount="620">
  <si>
    <t xml:space="preserve">ID RF</t>
  </si>
  <si>
    <t xml:space="preserve">Épica</t>
  </si>
  <si>
    <t xml:space="preserve">Estado Épica</t>
  </si>
  <si>
    <t xml:space="preserve">Actor(es)</t>
  </si>
  <si>
    <t xml:space="preserve">Origen (Pantalla)</t>
  </si>
  <si>
    <t xml:space="preserve">Descripción del RF</t>
  </si>
  <si>
    <t xml:space="preserve">RNF Relacionados</t>
  </si>
  <si>
    <t xml:space="preserve">Estatus</t>
  </si>
  <si>
    <t xml:space="preserve">Prioridad</t>
  </si>
  <si>
    <t xml:space="preserve">Dificultad</t>
  </si>
  <si>
    <t xml:space="preserve">Fase</t>
  </si>
  <si>
    <t xml:space="preserve">Versión</t>
  </si>
  <si>
    <t xml:space="preserve">MoSCoW</t>
  </si>
  <si>
    <t xml:space="preserve">RF0001</t>
  </si>
  <si>
    <t xml:space="preserve">Épica 1 - Núcleo y Seguridad</t>
  </si>
  <si>
    <t xml:space="preserve">Activa</t>
  </si>
  <si>
    <t xml:space="preserve">Investigador; Portal</t>
  </si>
  <si>
    <t xml:space="preserve">ONBOARDING SCREEN</t>
  </si>
  <si>
    <t xml:space="preserve">El usuario puede navegar a la siguiente pantalla de información en la Pantalla de Bienvenida (Onboarding) deslizando la pantalla hacia la izquierda o haciendo clic en icono de flecha, permitiendo la visualización secuencial de las características clave</t>
  </si>
  <si>
    <t xml:space="preserve">RNF0011, RNF0012, RNF0015</t>
  </si>
  <si>
    <t xml:space="preserve">Propuesto</t>
  </si>
  <si>
    <t xml:space="preserve">Baja</t>
  </si>
  <si>
    <t xml:space="preserve">1.0</t>
  </si>
  <si>
    <t xml:space="preserve">Could have</t>
  </si>
  <si>
    <t xml:space="preserve">RF0002</t>
  </si>
  <si>
    <t xml:space="preserve">LANDING PAGE</t>
  </si>
  <si>
    <t xml:space="preserve">El usuario es redirigido a la Pantalla de Registro haciendo clic en el botón de "Registrarse" ubicado en el Header de la Landing Page</t>
  </si>
  <si>
    <t xml:space="preserve">RNF0004, RNF0011, RNF0012</t>
  </si>
  <si>
    <t xml:space="preserve">Alta</t>
  </si>
  <si>
    <t xml:space="preserve">Must have</t>
  </si>
  <si>
    <t xml:space="preserve">RF0003</t>
  </si>
  <si>
    <t xml:space="preserve">El usuario es redirigido a la Pantalla de Inicio de sesión haciendo clic en el botón de "Iniciar Sesión" ubicado en el Header de la Landing Page</t>
  </si>
  <si>
    <t xml:space="preserve">RF0004</t>
  </si>
  <si>
    <t xml:space="preserve">El usuario es redirigido a la Pantalla de Inicio de sesión haciendo clic en el botón “Empieza Ya” ubicado al final de la Landing Page</t>
  </si>
  <si>
    <t xml:space="preserve">Moderada</t>
  </si>
  <si>
    <t xml:space="preserve">Should have</t>
  </si>
  <si>
    <t xml:space="preserve">RF0005</t>
  </si>
  <si>
    <t xml:space="preserve">El usuario es redirigido a la Pantalla de Registro haciendo clic en el enlace hipertexto “¿No tienes cuenta? Regístrate” para completar el formulario de registro</t>
  </si>
  <si>
    <t xml:space="preserve">RF0006</t>
  </si>
  <si>
    <t xml:space="preserve">El usuario puede hacer clic en el logo “MEUX Lab” para regresar a la Landing Page desde la Pantalla de Registro/Inicio de Sesión</t>
  </si>
  <si>
    <t xml:space="preserve">RF0007</t>
  </si>
  <si>
    <t xml:space="preserve">SIGN UP SCREEN</t>
  </si>
  <si>
    <t xml:space="preserve">El usuario es redirigido a la Pantalla de Inicio de sesión haciendo clic en el enlace hipertexto “¿Ya tienes cuenta? Inicia sesión” para introducir sus credenciales</t>
  </si>
  <si>
    <t xml:space="preserve">RF0008</t>
  </si>
  <si>
    <t xml:space="preserve">El usuario completa un formulario en la Pantalla de Registro llenando los campos correspondientes y pulsa el botón de “Registrar” para crear una cuenta</t>
  </si>
  <si>
    <t xml:space="preserve">RNF0002, RNF0006, RNF0009, RNF0011, RNF0029</t>
  </si>
  <si>
    <t xml:space="preserve">RF0009</t>
  </si>
  <si>
    <t xml:space="preserve">El usuario es redirigido a la Pantalla de Términos y Condiciones haciendo clic en el enlace de hipertexto ubicado al final del formulario de la Pantalla de Registro</t>
  </si>
  <si>
    <t xml:space="preserve">RNF0011, RNF0029</t>
  </si>
  <si>
    <t xml:space="preserve">RF0010</t>
  </si>
  <si>
    <t xml:space="preserve">El usuario es redirigido a la Pantalla de Políticas de Privacidad haciendo clic en el enlace de hipertexto ubicado al final del formulario de la Pantalla de Registro</t>
  </si>
  <si>
    <t xml:space="preserve">RF0011</t>
  </si>
  <si>
    <t xml:space="preserve">El usuario debe marcar la casilla de aceptación para los Términos y Condiciones y la Política de Privacidad en el formulario de la Pantalla de Registro para crear una cuenta</t>
  </si>
  <si>
    <t xml:space="preserve">RNF0009, RNF0011, RNF0029</t>
  </si>
  <si>
    <t xml:space="preserve">RF0012</t>
  </si>
  <si>
    <t xml:space="preserve">LOGIN SCREEN</t>
  </si>
  <si>
    <t xml:space="preserve">El usuario introduce sus credenciales en la Pantalla de Inicio de Sesión llenando los campos correspondientes y pulsa el botón de “Iniciar Sesión” para ingresar</t>
  </si>
  <si>
    <t xml:space="preserve">RNF0002, RNF0006, RNF0007, RNF0009</t>
  </si>
  <si>
    <t xml:space="preserve">RF0013</t>
  </si>
  <si>
    <t xml:space="preserve">El usuario puede pulsar el botón “Inicio de sesión con Google” para ingresar mediante cuentas de Google</t>
  </si>
  <si>
    <t xml:space="preserve">RNF0002, RNF0006, RNF0009</t>
  </si>
  <si>
    <t xml:space="preserve">RF0014</t>
  </si>
  <si>
    <t xml:space="preserve">El usuario puede alternar la visibilidad de la contraseña haciendo clic en el ícono de Ojo dentro del campo de entrada de contraseña</t>
  </si>
  <si>
    <t xml:space="preserve">RNF0003, RNF0011, RNF0013, RNF0015</t>
  </si>
  <si>
    <t xml:space="preserve">RF0015</t>
  </si>
  <si>
    <t xml:space="preserve">El usuario puede iniciar el proceso de recuperación de contraseña haciendo clic en el enlace hipertexto “¿Olvidaste la contraseña?”</t>
  </si>
  <si>
    <t xml:space="preserve">RNF0004, RNF0011, RNF0013</t>
  </si>
  <si>
    <t xml:space="preserve">RF0016</t>
  </si>
  <si>
    <t xml:space="preserve">PASSWORD RECOVERY SCREEN</t>
  </si>
  <si>
    <t xml:space="preserve">El usuario puede solicitar el envío del enlace de recuperación al ingresar su correo electrónico y pulsar el botón "Enviar"</t>
  </si>
  <si>
    <t xml:space="preserve">RNF0002, RNF0005, RNF0013</t>
  </si>
  <si>
    <t xml:space="preserve">RF0017</t>
  </si>
  <si>
    <t xml:space="preserve">El usuario puede establecer una nueva contraseña al completar el formulario y pulsar el botón "Guardar" mediante el enlace enviado a su correo electrónico</t>
  </si>
  <si>
    <t xml:space="preserve">RF0088</t>
  </si>
  <si>
    <t xml:space="preserve">PROFILE SCREEN</t>
  </si>
  <si>
    <t xml:space="preserve">El usuario puede acceder a la configuración de su identidad y datos personales haciendo clic en la pestaña (tab) "Perfil"</t>
  </si>
  <si>
    <t xml:space="preserve">RNF0003, RNF0011, RNF0012, RNF0015</t>
  </si>
  <si>
    <t xml:space="preserve">RF0089</t>
  </si>
  <si>
    <t xml:space="preserve">El usuario puede hacer clic en el botón “Subir” de la pestaña Perfil de los Ajustes para cargar una imagen de su computadora y usarla como foto de perfil</t>
  </si>
  <si>
    <t xml:space="preserve">RNF0003, RNF0011, RNF0012, RNF0015, RNF0018</t>
  </si>
  <si>
    <t xml:space="preserve">RF0090</t>
  </si>
  <si>
    <t xml:space="preserve">El usuario puede hacer clic en el botón “Quitar” de la pestaña Perfil de los Ajustes para eliminar su foto de perfil actual</t>
  </si>
  <si>
    <t xml:space="preserve">RF0091</t>
  </si>
  <si>
    <t xml:space="preserve">El usuario puede editar su nombre haciendo clic en el campo correspondiente de la pestaña Perfil de los Ajustes</t>
  </si>
  <si>
    <t xml:space="preserve">RF0092</t>
  </si>
  <si>
    <t xml:space="preserve">El usuario puede editar su Organización/Institución haciendo clic en el campo correspondiente de la pestaña Perfil de los Ajustes</t>
  </si>
  <si>
    <t xml:space="preserve">RF0093</t>
  </si>
  <si>
    <t xml:space="preserve">El usuario puede editar su Sector haciendo clic en el campo correspondiente de la pestaña Perfil de los Ajustes</t>
  </si>
  <si>
    <t xml:space="preserve">RF0094</t>
  </si>
  <si>
    <t xml:space="preserve">El usuario puede editar su Rol haciendo clic en el campo correspondiente de la pestaña Perfil de los Ajustes</t>
  </si>
  <si>
    <t xml:space="preserve">RF0095</t>
  </si>
  <si>
    <t xml:space="preserve">El usuario puede cambiar el idioma de la interfaz de la plataforma haciendo clic en el menú desplegable de Idiomas ubicado pestaña Perfil de los Ajustes</t>
  </si>
  <si>
    <t xml:space="preserve">RNF0003, RNF0011, RNF0012, RNF0018</t>
  </si>
  <si>
    <t xml:space="preserve">RF0096</t>
  </si>
  <si>
    <t xml:space="preserve">El usuario puede guardar o descartar las modificaciones realizadas en su información de Perfil a través de los botones de acción ubicados al final de la sección</t>
  </si>
  <si>
    <t xml:space="preserve">RNF0002, RNF0003, RNF0011, RNF0013</t>
  </si>
  <si>
    <t xml:space="preserve">RF0097</t>
  </si>
  <si>
    <t xml:space="preserve">PREFERENCES SETTINGS</t>
  </si>
  <si>
    <t xml:space="preserve">El usuario puede acceder a la configuración regional y de visualización haciendo clic en la pestaña (tab) "Preferencias"</t>
  </si>
  <si>
    <t xml:space="preserve">RNF0003, RNF0011, RNF0012</t>
  </si>
  <si>
    <t xml:space="preserve">RF0098</t>
  </si>
  <si>
    <t xml:space="preserve">El usuario puede seleccionar el Tema de la Interfaz haciendo clic en el interruptor de opción entre Claro y Oscuro en la pestaña Preferencias de los Ajustes</t>
  </si>
  <si>
    <t xml:space="preserve">RF0099</t>
  </si>
  <si>
    <t xml:space="preserve">El usuario puede seleccionar la Zona Horaria/Región de la lista desplegable provista en la pestaña Preferencias de los Ajustes</t>
  </si>
  <si>
    <t xml:space="preserve">RF0100</t>
  </si>
  <si>
    <t xml:space="preserve">El usuario puede iniciar la Guía Interactiva haciendo clic en el botón "Repetir Guia Interactiva" en la pestaña Preferencias de los Ajustes</t>
  </si>
  <si>
    <t xml:space="preserve">RF0101</t>
  </si>
  <si>
    <t xml:space="preserve">El usuario puede aplicar, guardar o descartar las modificaciones realizadas en la configuración de Preferencias a través de los botones de acción ubicados al final de la pestaña</t>
  </si>
  <si>
    <t xml:space="preserve">RF0102</t>
  </si>
  <si>
    <t xml:space="preserve">NOTIFICATIONS SETTINGS</t>
  </si>
  <si>
    <t xml:space="preserve">El usuario puede acceder a la configuración de alertas y comunicaciones haciendo clic en la pestaña (tab) "Notificaciones"</t>
  </si>
  <si>
    <t xml:space="preserve">RF0103</t>
  </si>
  <si>
    <t xml:space="preserve">El usuario puede activar o desactivar la recepción de Notificaciones por Correo Electrónico mediante un interruptor en la pestaña Notificaciones de los Ajustes</t>
  </si>
  <si>
    <t xml:space="preserve">RF0104</t>
  </si>
  <si>
    <t xml:space="preserve">El usuario puede activar o desactivar la recepción de Notificaciones dentro del Portal (In-App) mediante un Interruptor en la pestaña Notificaciones de los Ajustes</t>
  </si>
  <si>
    <t xml:space="preserve">RF0105</t>
  </si>
  <si>
    <t xml:space="preserve">El usuario puede configurar de forma granular los Tipos de Notificación (Recordatorios, Actualizaciones, Facturación, Novedades) para el canal de Correo Electrónico usando checkboxes individuales</t>
  </si>
  <si>
    <t xml:space="preserve">RF0106</t>
  </si>
  <si>
    <t xml:space="preserve">El usuario puede configurar de forma granular los Tipos de Notificación  (Recordatorios, Actualizaciones, Facturación, Novedades) para el canal Dentro del Portal (In-App) usando checkboxes individuales</t>
  </si>
  <si>
    <t xml:space="preserve">RF0107</t>
  </si>
  <si>
    <t xml:space="preserve">El usuario puede seleccionar la frecuencia de envío para cada tipo de notificación configurada (Inmediato / Diario / Semanal / Nunca) mediante un menú desplegable</t>
  </si>
  <si>
    <t xml:space="preserve">RF0108</t>
  </si>
  <si>
    <t xml:space="preserve">El usuario puede aplicar, guardar o descartar las modificaciones realizadas en la configuración de Notificaciones a través de los botones de acción ubicados al final de la pestaña</t>
  </si>
  <si>
    <t xml:space="preserve">RF0109</t>
  </si>
  <si>
    <t xml:space="preserve">El usuario puede revertir todos los cambios y restablecer la configuración original del sistema haciendo clic en el botón "Restaurar valores predeterminados" en la pestaña Notificaciones de los Ajustes</t>
  </si>
  <si>
    <t xml:space="preserve">RF0116</t>
  </si>
  <si>
    <t xml:space="preserve">SECURITY SETTINGS</t>
  </si>
  <si>
    <t xml:space="preserve">El usuario puede acceder a las herramientas de protección y gestión de cuenta haciendo clic en la pestaña (tab) "Seguridad y Cuenta"</t>
  </si>
  <si>
    <t xml:space="preserve">RF0117</t>
  </si>
  <si>
    <t xml:space="preserve">El usuario puede iniciar el flujo de cambio de correo electrónico haciendo clic en el enlace o botón "Cambiar Correo Electrónico" en la pestaña Seguridad y Cuenta de los Ajustes</t>
  </si>
  <si>
    <t xml:space="preserve">RF0118</t>
  </si>
  <si>
    <t xml:space="preserve">El usuario debe ingresar la nueva dirección de correo electrónico y su Contraseña Actual en los campos requeridos en la pestaña Seguridad y Cuenta de los Ajustes</t>
  </si>
  <si>
    <t xml:space="preserve">RF00119</t>
  </si>
  <si>
    <t xml:space="preserve">El usuario puede iniciar la verificación de un nuevo correo electrónico o cancelar el proceso de cambio en la pestaña Seguridad y Cuenta de los Ajustes</t>
  </si>
  <si>
    <t xml:space="preserve">RF0120</t>
  </si>
  <si>
    <t xml:space="preserve">El usuario debe confirmar la nueva dirección haciendo clic en el enlace único de verificación enviado al nuevo correo electrónico</t>
  </si>
  <si>
    <t xml:space="preserve">RNF0001, RNF0003, RNF0011, RNF0013</t>
  </si>
  <si>
    <t xml:space="preserve">RF0121</t>
  </si>
  <si>
    <t xml:space="preserve">El usuario puede iniciar el flujo de eliminación de cuenta haciendo clic en el enlace o botón "Eliminar Mi Cuenta" en la pestaña Seguridad y Cuenta de los Ajustes</t>
  </si>
  <si>
    <t xml:space="preserve">RF0122</t>
  </si>
  <si>
    <t xml:space="preserve">El usuario debe ingresar su Contraseña Actual en el campo de texto provisto dentro de la advertencia de confirmación</t>
  </si>
  <si>
    <t xml:space="preserve">RNF0001, RNF0003, RNF0011, RNF0013, RNF0015</t>
  </si>
  <si>
    <t xml:space="preserve">RF0123</t>
  </si>
  <si>
    <t xml:space="preserve">El usuario puede confirmar o cancelar el proceso de eliminación irreversible de su cuenta</t>
  </si>
  <si>
    <t xml:space="preserve">RF0124</t>
  </si>
  <si>
    <t xml:space="preserve">El usuario puede iniciar el proceso de cambio de contraseña ingresando su Contraseña Actual, la Nueva Contraseña y la Confirmación en los campos requeridos en la pestaña Seguridad y Cuenta de los Ajustes</t>
  </si>
  <si>
    <t xml:space="preserve">RF0125</t>
  </si>
  <si>
    <t xml:space="preserve">El usuario puede ejecutar o cancelar el cambio de contraseña a través del formulario de seguridad.</t>
  </si>
  <si>
    <t xml:space="preserve">RNF0002, RNF0003, RNF0011, RNF0013, RNF0015</t>
  </si>
  <si>
    <t xml:space="preserve">RF0126</t>
  </si>
  <si>
    <t xml:space="preserve">El usuario puede iniciar el proceso de activación/desactivación de la Autenticación en Dos Pasos (2FA) mediante la acción en el interruptor en la pestaña Seguridad y Cuenta de los Ajustes</t>
  </si>
  <si>
    <t xml:space="preserve">RF0127</t>
  </si>
  <si>
    <t xml:space="preserve">El usuario puede iniciar el proceso de Cierre de Sesión Remota haciendo clic en el botón "Cerrar Sesión en Todos los Dispositivos" en la pestaña Seguridad y Cuenta de los Ajustes</t>
  </si>
  <si>
    <t xml:space="preserve">RF0018</t>
  </si>
  <si>
    <t xml:space="preserve">Épica 2 - Gestión de Proyectos y Ciclo de Vida</t>
  </si>
  <si>
    <t xml:space="preserve">HOME SCREEN</t>
  </si>
  <si>
    <t xml:space="preserve">El usuario puede hacer clic en el logo “MEUX Lab” para volver a la Pantalla Principal estando dentro del Dashboard</t>
  </si>
  <si>
    <t xml:space="preserve">RF0019</t>
  </si>
  <si>
    <t xml:space="preserve">El usuario puede hacer clic en el icono de Menú hamburguesa para contraer o abrir el Menú lateral</t>
  </si>
  <si>
    <t xml:space="preserve">RF0020</t>
  </si>
  <si>
    <t xml:space="preserve">El usuario puede escribir en la barra de búsqueda para consultar proyectos creados</t>
  </si>
  <si>
    <t xml:space="preserve">RF0021</t>
  </si>
  <si>
    <t xml:space="preserve">El usuario puede abrir un proyecto haciendo clic en la sugerencia correspondiente dentro de la lista de resultados de búsqueda del Dashboard</t>
  </si>
  <si>
    <t xml:space="preserve">RNF0001, RNF0003, RNF0011</t>
  </si>
  <si>
    <t xml:space="preserve">RF0022</t>
  </si>
  <si>
    <t xml:space="preserve">El usuario puede marcar o desmarcar un proyecto como favorito haciendo clic en el ícono de Estrella visible en la tarjeta del proyecto dentro de la lista de resultados de búsqueda del Dashboard</t>
  </si>
  <si>
    <t xml:space="preserve">RNF0003, RNF0011, RNF0015</t>
  </si>
  <si>
    <t xml:space="preserve">RF0023</t>
  </si>
  <si>
    <t xml:space="preserve">El usuario puede borrar su entrada en la barra de búsqueda del Dashboard haciendo clic en el icono de Cancelar</t>
  </si>
  <si>
    <t xml:space="preserve">RF0024</t>
  </si>
  <si>
    <t xml:space="preserve">El usuario puede desplegar y ocultar el Panel de Notificaciones haciendo clic en el ícono de la campana ubicado en el Header del Dashboard</t>
  </si>
  <si>
    <t xml:space="preserve">RF0025</t>
  </si>
  <si>
    <t xml:space="preserve">NOTIFICATIONS SCREEN</t>
  </si>
  <si>
    <t xml:space="preserve">El usuario puede alternar la vista del historial de notificaciones entre "Todas" y "Leídas" haciendo clic en las pestañas (tabs) correspondientes dentro del panel de notificaciones</t>
  </si>
  <si>
    <t xml:space="preserve">RF0026</t>
  </si>
  <si>
    <t xml:space="preserve">El usuario puede navegar al recurso o acción relevante haciendo clic en el cuerpo de cualquier notificación dentro del panel de notificaciones</t>
  </si>
  <si>
    <t xml:space="preserve">RNF0003, RNF0011, RNF0013</t>
  </si>
  <si>
    <t xml:space="preserve">RF0027</t>
  </si>
  <si>
    <t xml:space="preserve">El usuario puede abrir el Menú Contextual haciendo clic en el ícono de tres puntos horizontales (Albóndigas) asociado a una notificación individual del panel de notificaciones</t>
  </si>
  <si>
    <t xml:space="preserve">RF0028</t>
  </si>
  <si>
    <t xml:space="preserve">El usuario puede cambiar el estado de lectura de una notificación haciendo clic en la opción "Marcar como leída" o "Marcar como no leída" desde el Menú Contextual del panel de notificaciones</t>
  </si>
  <si>
    <t xml:space="preserve">RF0029</t>
  </si>
  <si>
    <t xml:space="preserve">El usuario puede eliminar una notificación específica del historial haciendo clic en la opción "Eliminar esta notificación" desde el Menú Contextual del panel de notificaciones</t>
  </si>
  <si>
    <t xml:space="preserve">RF0030</t>
  </si>
  <si>
    <t xml:space="preserve">El usuario puede marcar todas las notificaciones visibles en la pestaña activa como leídas haciendo clic en el enlace hipertexto "Marcar todas como leídas"</t>
  </si>
  <si>
    <t xml:space="preserve">RF0031</t>
  </si>
  <si>
    <t xml:space="preserve">USER MENU</t>
  </si>
  <si>
    <t xml:space="preserve">El usuario puede desplegar el Menú de Administración del Perfil haciendo clic en su Foto de Perfil en el Header del Dashboard</t>
  </si>
  <si>
    <t xml:space="preserve">RF0032</t>
  </si>
  <si>
    <t xml:space="preserve">El usuario es redirigido a la Pantalla Editar Perfil haciendo clic en la opción de “Editar Perfil” en el Menú de Administración del perfil</t>
  </si>
  <si>
    <t xml:space="preserve">RF0033</t>
  </si>
  <si>
    <t xml:space="preserve">El usuario es redirigido a la Pantalla de Ajustes haciendo clic en la opción de “Ajustes” en el Menú de Administración del Perfil</t>
  </si>
  <si>
    <t xml:space="preserve">RF0034</t>
  </si>
  <si>
    <t xml:space="preserve">El usuario es redirigido a la Pantalla de Papelera de Reciclaje haciendo clic en la opción de “Papelera” en el Menú lateral en el Dashboard</t>
  </si>
  <si>
    <t xml:space="preserve">RF0035</t>
  </si>
  <si>
    <t xml:space="preserve">El usuario es redirigido a la Pantalla de Ayuda haciendo clic en la opción de “Ayuda &amp; Soporte” en el Menú de Administración del Perfil</t>
  </si>
  <si>
    <t xml:space="preserve">RF0036</t>
  </si>
  <si>
    <t xml:space="preserve">El usuario es redirigido a la Landing Page haciendo clic en la opción de “Cerrar Sesión” en el Menú de Administración del Perfil</t>
  </si>
  <si>
    <t xml:space="preserve">RNF0002, RNF0008, RNF0009, RNF0011, RNF0020</t>
  </si>
  <si>
    <t xml:space="preserve">RF0037</t>
  </si>
  <si>
    <t xml:space="preserve">SIDEBAR</t>
  </si>
  <si>
    <t xml:space="preserve">El usuario es redirigido a la Pantalla Principal haciendo clic en la opción “Inicio” del Menú lateral en el Dashboard</t>
  </si>
  <si>
    <t xml:space="preserve">RF0038</t>
  </si>
  <si>
    <t xml:space="preserve">El usuario es redirigido a la Pantalla de Proyectos Recientes haciendo clic en la opción “Recientes” del Menú lateral en el Dashboard</t>
  </si>
  <si>
    <t xml:space="preserve">RF0039</t>
  </si>
  <si>
    <t xml:space="preserve">El usuario es redirigido a la Pantalla de Proyectos Favoritos haciendo clic en la opción “Favoritos” del Menú lateral en el Dashboard</t>
  </si>
  <si>
    <t xml:space="preserve">RF0040</t>
  </si>
  <si>
    <t xml:space="preserve">El usuario es redirigido a la Pantalla de Proyectos Archivados haciendo clic en la opción “Archivados” del Menú lateral en el Dashboard</t>
  </si>
  <si>
    <t xml:space="preserve">RF0041</t>
  </si>
  <si>
    <t xml:space="preserve">PROJECTS VIEW</t>
  </si>
  <si>
    <t xml:space="preserve">El usuario puede cambiar el formato de presentación de la lista de proyectos del Dashboard haciendo clic en los iconos de "Vista Cuadrícula", "Vista de Lista" o "Vista Kanban"</t>
  </si>
  <si>
    <t xml:space="preserve">RNF0001, RNF0003, RNF0011, RNF0012, RNF0015</t>
  </si>
  <si>
    <t xml:space="preserve">RF0042</t>
  </si>
  <si>
    <t xml:space="preserve">El usuario puede mover un proyecto de una columna a otra mediante la acción de arrastrar y soltar en el modo de vista Kanban del Dashboard</t>
  </si>
  <si>
    <t xml:space="preserve">RNF0001, RNF0003, RNF0011, RNF0015, RNF0021</t>
  </si>
  <si>
    <t xml:space="preserve">RF0043</t>
  </si>
  <si>
    <t xml:space="preserve">El usuario puede modificar la secuencia de ordenamiento de los proyectos del Dashboard haciendo clic en la lista desplegable "Ordenar por" y seleccionando un criterio</t>
  </si>
  <si>
    <t xml:space="preserve">RNF0001, RNF0003, RNF0011, RNF0015</t>
  </si>
  <si>
    <t xml:space="preserve">RF0044</t>
  </si>
  <si>
    <t xml:space="preserve">El usuario puede filtrar los proyectos por Método UX haciendo clic en la lista desplegable "Métodos" y seleccionando una o varias opciones en el Dashboard</t>
  </si>
  <si>
    <t xml:space="preserve">RF0045</t>
  </si>
  <si>
    <t xml:space="preserve">El usuario puede filtrar los proyectos del Dashboard por Estado haciendo clic en la lista desplegable "Estado" y seleccionando una opción</t>
  </si>
  <si>
    <t xml:space="preserve">RF0046</t>
  </si>
  <si>
    <t xml:space="preserve">MAIN</t>
  </si>
  <si>
    <t xml:space="preserve">El usuario puede acceder al Módulo de Gestión de un proyecto haciendo clic en la tarjeta de proyecto correspondiente</t>
  </si>
  <si>
    <t xml:space="preserve">RF0047</t>
  </si>
  <si>
    <t xml:space="preserve">El usuario puede iniciar la edición del nombre del proyecto haciendo clic en el nombre dentro de la tarjeta de proyecto</t>
  </si>
  <si>
    <t xml:space="preserve">RF0048</t>
  </si>
  <si>
    <t xml:space="preserve">El usuario puede finalizar la edición del nombre del proyecto pulsando la tecla Enter o haciendo clic fuera del campo de texto</t>
  </si>
  <si>
    <t xml:space="preserve">RF0049</t>
  </si>
  <si>
    <t xml:space="preserve">El usuario puede alternar el estado de Favorito de un proyecto haciendo clic en el ícono de Estrella en la tarjeta del proyecto del Dashboard</t>
  </si>
  <si>
    <t xml:space="preserve">RF0050</t>
  </si>
  <si>
    <t xml:space="preserve">El usuario puede abrir el Menú Contextual de Gestión haciendo clic en el ícono de tres puntos horizontales (Meatball) en la tarjeta de un proyecto del Dashboard</t>
  </si>
  <si>
    <t xml:space="preserve">RF0051</t>
  </si>
  <si>
    <t xml:space="preserve">El usuario puede acceder al Módulo de Gestión del proyecto en una nueva pestaña del navegador haciendo clic en la opción "Abrir en una nueva pestaña" desde el Menú Contextual</t>
  </si>
  <si>
    <t xml:space="preserve">RNF0003, RNF0011, RNF0016, RNF0017</t>
  </si>
  <si>
    <t xml:space="preserve">RF0052</t>
  </si>
  <si>
    <t xml:space="preserve">El usuario puede iniciar el modo de edición del nombre del proyecto haciendo clic en la opción "Cambiar nombre" desde el Menú Contextual</t>
  </si>
  <si>
    <t xml:space="preserve">RF0053</t>
  </si>
  <si>
    <t xml:space="preserve">El usuario puede marcar un proyecto como Favorito haciendo clic en la opción "Agregar a Favoritos" desde el Menú Contextual</t>
  </si>
  <si>
    <t xml:space="preserve">RF0054</t>
  </si>
  <si>
    <t xml:space="preserve">El usuario puede retirar un proyecto de la lista de Favoritos haciendo clic en la opción "Quitar de Favoritos" desde el Menú Contextual</t>
  </si>
  <si>
    <t xml:space="preserve">RF0055</t>
  </si>
  <si>
    <t xml:space="preserve">El usuario puede cambiar el estado de un proyecto a "Archivado" haciendo clic en la opción "Archivar" desde el Menú Contextual</t>
  </si>
  <si>
    <t xml:space="preserve">RNF0003, RNF0011, RNF0013, RNF0015, RNF0019</t>
  </si>
  <si>
    <t xml:space="preserve">RF0056</t>
  </si>
  <si>
    <t xml:space="preserve">El usuario puede crear una copia exacta del proyecto haciendo clic en la opción "Duplicar" desde el Menú Contextual</t>
  </si>
  <si>
    <t xml:space="preserve">RF0057</t>
  </si>
  <si>
    <t xml:space="preserve">El usuario es redirigido a la Pantalla de Recursos de Distribución haciendo clic en la opción "Compartir" desde el Menú Contextual</t>
  </si>
  <si>
    <t xml:space="preserve">RF0058</t>
  </si>
  <si>
    <t xml:space="preserve">El usuario es redirigido a la Pantalla de Análisis y Resultados haciendo clic en la opción "Ver Resultados" desde el Menú Contextual</t>
  </si>
  <si>
    <t xml:space="preserve">RF0074</t>
  </si>
  <si>
    <t xml:space="preserve">ARCHIVED SCREEN</t>
  </si>
  <si>
    <t xml:space="preserve">El usuario puede restaurar un proyecto haciendo clic en la opción "Quitar de Archivados" desde el Menú Contextual (disponible en la vista de Archivados)</t>
  </si>
  <si>
    <t xml:space="preserve">RF0075</t>
  </si>
  <si>
    <t xml:space="preserve">TRASH SCREEN</t>
  </si>
  <si>
    <t xml:space="preserve">El usuario puede enviar el proyecto a la Papelera de Reciclaje haciendo clic en la opción "Eliminar" desde el Menú Contextual</t>
  </si>
  <si>
    <t xml:space="preserve">RNF0003, RNF0009, RNF0010, RNF0011, RNF0013, RNF0015</t>
  </si>
  <si>
    <t xml:space="preserve">RF0076</t>
  </si>
  <si>
    <t xml:space="preserve">El usuario puede confirmar o cancelar el envío de un proyecto a la Papelera a través del modal de advertencia</t>
  </si>
  <si>
    <t xml:space="preserve">RF0077</t>
  </si>
  <si>
    <t xml:space="preserve">El usuario puede buscar proyectos eliminados ingresando texto en el campo de Búsqueda provisto dentro de la Pantalla Papelera</t>
  </si>
  <si>
    <t xml:space="preserve">RF0078</t>
  </si>
  <si>
    <t xml:space="preserve">El usuario puede abrir un Menú Contextual haciendo clic en el ícono de tres puntos horizontales (Albóndigas) para un proyecto específico en la lista de la Pantalla Papelera</t>
  </si>
  <si>
    <t xml:space="preserve">RF0079</t>
  </si>
  <si>
    <t xml:space="preserve">El usuario puede restaurar (recuperar) un proyecto a su ubicación original haciendo clic en la opción "Recuperar" desde el Menú Contextual</t>
  </si>
  <si>
    <t xml:space="preserve">RF0080</t>
  </si>
  <si>
    <t xml:space="preserve">El usuario puede eliminar permanentemente un proyecto haciendo clic en la opción "Eliminar Definitivamente" dentro del Menú Contextual</t>
  </si>
  <si>
    <t xml:space="preserve">RF0081</t>
  </si>
  <si>
    <t xml:space="preserve">El usuario puede confirmar o cancelar la eliminación permanente e irreversible de los proyectos de la Papelera a través del modal de advertencia</t>
  </si>
  <si>
    <t xml:space="preserve">RF0082</t>
  </si>
  <si>
    <t xml:space="preserve">El usuario puede iniciar la acción de vaciar la Papelera haciendo clic en el botón "Vaciar Papelera" ubicado en el encabezado de la Pantalla Papelera</t>
  </si>
  <si>
    <t xml:space="preserve">RF0083</t>
  </si>
  <si>
    <t xml:space="preserve">El usuario puede ejecutar la eliminación permanente de todos los proyectos haciendo clic en el botón "Confirmar Eliminación Permanente" dentro del pop-up</t>
  </si>
  <si>
    <t xml:space="preserve">RF0084</t>
  </si>
  <si>
    <t xml:space="preserve">CREATE PROJECT</t>
  </si>
  <si>
    <t xml:space="preserve">El usuario puede iniciar el proceso de creación de un nuevo proyecto haciendo clic en el botón principal "+ Crear Proyecto" ubicado en el Dashboard</t>
  </si>
  <si>
    <t xml:space="preserve">RNF0001, RNF0002, RNF0003, RNF0011, RNF0015, RNF0024</t>
  </si>
  <si>
    <t xml:space="preserve">RF0085</t>
  </si>
  <si>
    <t xml:space="preserve">El usuario debe ingresar un nombre para el nuevo proyecto haciendo clic y escribiendo en el campo de texto requerido del modal de creación de proyecto</t>
  </si>
  <si>
    <t xml:space="preserve">RF0086</t>
  </si>
  <si>
    <t xml:space="preserve">El usuario debe seleccionar un Método UX haciendo clic en la tarjeta de la opción deseada para completar el formulario del modal de creación de proyecto</t>
  </si>
  <si>
    <t xml:space="preserve">RF0087</t>
  </si>
  <si>
    <t xml:space="preserve">El usuario puede finalizar/cancelar el proceso de Creación Proyecto haciendo clic en el botón "Crear" o “Cancelar” del modal de Creación de proyecto</t>
  </si>
  <si>
    <t xml:space="preserve">RF00186</t>
  </si>
  <si>
    <t xml:space="preserve">Épica 3 - Orquestador y Contrato de Módulos (Factory)</t>
  </si>
  <si>
    <t xml:space="preserve">Portal; Módulo de Usabilidad</t>
  </si>
  <si>
    <t xml:space="preserve">Arquitectura Backend (sin pantalla)</t>
  </si>
  <si>
    <t xml:space="preserve">El sistema debe instanciar dinámicamente una implementación concreta de módulo de usabilidad mediante el Factory, según el tipo de método seleccionado al crear el proyecto</t>
  </si>
  <si>
    <t xml:space="preserve">RNF0002, RNF0028</t>
  </si>
  <si>
    <t xml:space="preserve">RF00187</t>
  </si>
  <si>
    <t xml:space="preserve">El sistema debe validar que el tipo de módulo solicitado esté registrado en el catálogo del Factory antes de crear el proyecto, rechazando la operación en caso contrario</t>
  </si>
  <si>
    <t xml:space="preserve">RNF0013</t>
  </si>
  <si>
    <t xml:space="preserve">RF00188</t>
  </si>
  <si>
    <t xml:space="preserve">El sistema debe inicializar el módulo instanciado antes de habilitar la participación de usuarios finales en el proyecto</t>
  </si>
  <si>
    <t xml:space="preserve">RNF0002, RNF0021</t>
  </si>
  <si>
    <t xml:space="preserve">RF00189</t>
  </si>
  <si>
    <t xml:space="preserve">Todo módulo concreto debe implementar el contrato común de módulo de usabilidad, exponiendo de forma homogénea sus operaciones de inicialización, métricas y validación de datos</t>
  </si>
  <si>
    <t xml:space="preserve">RNF0028</t>
  </si>
  <si>
    <t xml:space="preserve">RF00190</t>
  </si>
  <si>
    <t xml:space="preserve">El sistema debe validar la estructura de los datos enviados por el participante contra el módulo correspondiente antes de persistir cualquier resultado</t>
  </si>
  <si>
    <t xml:space="preserve">RNF0009, RNF0013</t>
  </si>
  <si>
    <t xml:space="preserve">RF00191</t>
  </si>
  <si>
    <t xml:space="preserve">El sistema debe permitir consultar un resumen de métricas de cualquier proyecto en un formato homogéneo, sin importar el tipo de módulo utilizado</t>
  </si>
  <si>
    <t xml:space="preserve">RNF0001, RNF0028</t>
  </si>
  <si>
    <t xml:space="preserve">RF00192</t>
  </si>
  <si>
    <t xml:space="preserve">El sistema debe controlar las transiciones de estado del ciclo de vida del proyecto (Edición → Publicado → Finalizado), restringiendo qué acciones son válidas en cada estado</t>
  </si>
  <si>
    <t xml:space="preserve">RF00199</t>
  </si>
  <si>
    <t xml:space="preserve">El sistema debe permitir que cada módulo reciba y almacene sus propios parámetros de configuración de forma independiente al Portal, sin que este último conozca su estructura interna</t>
  </si>
  <si>
    <t xml:space="preserve">RNF0028, RNF0013</t>
  </si>
  <si>
    <t xml:space="preserve">RF0110</t>
  </si>
  <si>
    <t xml:space="preserve">Épica 4 - Entorno de Participante y Accesibilidad</t>
  </si>
  <si>
    <t xml:space="preserve">Participante</t>
  </si>
  <si>
    <t xml:space="preserve">ACCESSIBILITY SETTINGS</t>
  </si>
  <si>
    <t xml:space="preserve">El usuario puede acceder a las opciones de usabilidad (lectores de pantalla, contraste y tamaño de fuente) haciendo clic en la pestaña (tabs) "Accesibilidad"</t>
  </si>
  <si>
    <t xml:space="preserve">RNF0011, RNF0012, RNF0014, RNF0015</t>
  </si>
  <si>
    <t xml:space="preserve">RF0111</t>
  </si>
  <si>
    <t xml:space="preserve">El usuario puede seleccionar el tamaño de fuente (Pequeño/Mediano/Grande) mediante botones de opción o un deslizador en la pestaña Accesibilidad de los Ajustes</t>
  </si>
  <si>
    <t xml:space="preserve">RF0112</t>
  </si>
  <si>
    <t xml:space="preserve">El usuario puede activar o desactivar el modo de Alto Contraste mediante un interruptor en la pestaña Accesibilidad de los Ajustes</t>
  </si>
  <si>
    <t xml:space="preserve">RF0113</t>
  </si>
  <si>
    <t xml:space="preserve">El usuario puede activar o desactivar la reducción de animaciones de la interfaz mediante un interruptor en la pestaña Accesibilidad de los Ajustes</t>
  </si>
  <si>
    <t xml:space="preserve">RNF0003, RNF0011, RNF0012, RNF0014, RNF0015</t>
  </si>
  <si>
    <t xml:space="preserve">RF0114</t>
  </si>
  <si>
    <t xml:space="preserve">El usuario puede visualizar la lista completa de Atajos de Teclado disponibles haciendo clic en el enlace o botón "Ver Lista" en la pestaña Accesibilidad de los Ajustes</t>
  </si>
  <si>
    <t xml:space="preserve">RF0115</t>
  </si>
  <si>
    <t xml:space="preserve">El usuario puede aplicar, guardar o descartar las modificaciones realizadas en las preferencias de Accesibilidad a través de los botones de acción ubicados al final de la pestaña</t>
  </si>
  <si>
    <t xml:space="preserve">RF0167</t>
  </si>
  <si>
    <t xml:space="preserve">ATAJOS</t>
  </si>
  <si>
    <t xml:space="preserve">El usuario puede navegar a la Pantalla Principal (Dashboard) desde cualquier ubicación presionando la combinación de teclas Alt + D</t>
  </si>
  <si>
    <t xml:space="preserve">RNF0003, RNF0004, RNF0014, RNF0015</t>
  </si>
  <si>
    <t xml:space="preserve">RF0168</t>
  </si>
  <si>
    <t xml:space="preserve">El usuario puede abrir el Centro de Ayuda presionando la combinación de teclas Alt + H</t>
  </si>
  <si>
    <t xml:space="preserve">RF0169</t>
  </si>
  <si>
    <t xml:space="preserve">El usuario puede acceder a la Pantalla de Ajustes (Perfil, Preferencias, etc.) presionando la combinación de teclas Alt +</t>
  </si>
  <si>
    <t xml:space="preserve">RF0170</t>
  </si>
  <si>
    <t xml:space="preserve">El usuario puede cerrar la sesión activa presionando la combinación de teclas Alt + Q</t>
  </si>
  <si>
    <t xml:space="preserve">RNF0002, RNF0008, RNF0009, RNF0014, RNF0015</t>
  </si>
  <si>
    <t xml:space="preserve">RF0171</t>
  </si>
  <si>
    <t xml:space="preserve">El usuario puede desplegar el Menú del Perfil presionando la combinación de teclas Alt + U</t>
  </si>
  <si>
    <t xml:space="preserve">RNF0003, RNF0014, RNF0015</t>
  </si>
  <si>
    <t xml:space="preserve">RF0172</t>
  </si>
  <si>
    <t xml:space="preserve">El usuario puede acceder a la Pantalla de Papelera presionando la combinación de teclas Alt + P</t>
  </si>
  <si>
    <t xml:space="preserve">RF0173</t>
  </si>
  <si>
    <t xml:space="preserve">El usuario puede abrir el formulario o modal para la creación de un nuevo proyecto presionando la combinación de teclas Ctrl + N</t>
  </si>
  <si>
    <t xml:space="preserve">RF0174</t>
  </si>
  <si>
    <t xml:space="preserve">El usuario puede activar el foco directo en la barra de búsqueda principal presionando la tecla / (barra) o la combinación Ctrl + F</t>
  </si>
  <si>
    <t xml:space="preserve">RF0175</t>
  </si>
  <si>
    <t xml:space="preserve">El usuario puede alternar cíclicamente entre las diferentes vistas del Dashboard (Lista, Cuadrícula, Kanban) presionando la combinación de teclas Ctrl + L</t>
  </si>
  <si>
    <t xml:space="preserve">RNF0003, RNF0011, RNF0014, RNF0015</t>
  </si>
  <si>
    <t xml:space="preserve">RF0176</t>
  </si>
  <si>
    <t xml:space="preserve">El usuario puede moverse verticalmente entre los proyectos seleccionables de la lista o cuadrícula presionando las teclas ↑ (Flecha Arriba) o ↓ (Flecha Abajo)</t>
  </si>
  <si>
    <t xml:space="preserve">RF0177</t>
  </si>
  <si>
    <t xml:space="preserve">El usuario puede abrir el proyecto que se encuentra actualmente resaltado o seleccionado presionando la tecla Enter</t>
  </si>
  <si>
    <t xml:space="preserve">RF0178</t>
  </si>
  <si>
    <t xml:space="preserve">El usuario puede marcar o desmarcar el proyecto actualmente seleccionado o abierto como favorito presionando la tecla F</t>
  </si>
  <si>
    <t xml:space="preserve">RNF0002, RNF0013, RNF0014, RNF0015</t>
  </si>
  <si>
    <t xml:space="preserve">RF0179</t>
  </si>
  <si>
    <t xml:space="preserve">El usuario puede archivar el proyecto actualmente seleccionado o abierto presionando la tecla A</t>
  </si>
  <si>
    <t xml:space="preserve">RF0180</t>
  </si>
  <si>
    <t xml:space="preserve">El usuario puede iniciar el proceso de eliminación del proyecto presionando la tecla Del o la combinación Ctrl + Supr</t>
  </si>
  <si>
    <t xml:space="preserve">RNF0002, RNF0010, RNF0013, RNF0014, RNF0015</t>
  </si>
  <si>
    <t xml:space="preserve">RF0181</t>
  </si>
  <si>
    <t xml:space="preserve">El usuario puede navegar hacia el siguiente elemento interactivo de la interfaz (botones, enlaces, campos de formulario) presionando la tecla Tab</t>
  </si>
  <si>
    <t xml:space="preserve">RF0182</t>
  </si>
  <si>
    <t xml:space="preserve">El usuario puede navegar hacia el elemento interactivo anterior de la interfaz (botones, enlaces, campos de formulario) presionando la combinación de teclas Shift + Tab</t>
  </si>
  <si>
    <t xml:space="preserve">RF0183</t>
  </si>
  <si>
    <t xml:space="preserve">El usuario puede ejecutar la acción del botón, enlace o campo actualmente enfocado presionando la tecla Enter</t>
  </si>
  <si>
    <t xml:space="preserve">RF0184</t>
  </si>
  <si>
    <t xml:space="preserve">El usuario puede cerrar cualquier modal, diálogo, tooltip o menú abierto presionando la tecla Esc (Escape)</t>
  </si>
  <si>
    <t xml:space="preserve">RF0185</t>
  </si>
  <si>
    <t xml:space="preserve">El usuario puede activar el texto descriptivo adicional o tooltip de un elemento actualmente enfocado presionando la combinación de teclas Alt + I</t>
  </si>
  <si>
    <t xml:space="preserve">RF00193</t>
  </si>
  <si>
    <t xml:space="preserve">Épica 5 - Motor de Telemetría</t>
  </si>
  <si>
    <t xml:space="preserve">Motor de Telemetría; Participante; Investigador</t>
  </si>
  <si>
    <t xml:space="preserve">El sistema debe establecer y mantener una conexión WebSocket activa entre el cliente participante y el servidor durante toda la sesión de evaluación</t>
  </si>
  <si>
    <t xml:space="preserve">RNF0009, RNF0024</t>
  </si>
  <si>
    <t xml:space="preserve">RF00194</t>
  </si>
  <si>
    <t xml:space="preserve">El sistema debe registrar cada conexión entrante y liberar los recursos asociados automáticamente cuando la sesión finaliza o se pierde la conexión</t>
  </si>
  <si>
    <t xml:space="preserve">RNF0021, RNF0024</t>
  </si>
  <si>
    <t xml:space="preserve">RF00195</t>
  </si>
  <si>
    <t xml:space="preserve">El sistema debe capturar los eventos de interacción del participante (foco, posición en el DOM, timestamp) durante la ejecución de la tarea</t>
  </si>
  <si>
    <t xml:space="preserve">RNF0003, RNF0009</t>
  </si>
  <si>
    <t xml:space="preserve">RF00196</t>
  </si>
  <si>
    <t xml:space="preserve">El sistema debe procesar cada evento de telemetría recibido y persistirlo junto con sus metadatos en formato JSONB</t>
  </si>
  <si>
    <t xml:space="preserve">RNF0009, RNF0025</t>
  </si>
  <si>
    <t xml:space="preserve">RF00197</t>
  </si>
  <si>
    <t xml:space="preserve">El sistema debe transmitir en tiempo real los eventos relevantes de la sesión hacia el panel del investigador conectado</t>
  </si>
  <si>
    <t xml:space="preserve">RF00198</t>
  </si>
  <si>
    <t xml:space="preserve">El sistema debe asociar cada evento de telemetría a su identificador de sesión y marca de tiempo, permitiendo reconstruir cronológicamente la sesión completa</t>
  </si>
  <si>
    <t xml:space="preserve">RNF0025, RNF0022</t>
  </si>
  <si>
    <t xml:space="preserve">RF0059</t>
  </si>
  <si>
    <t xml:space="preserve">Épica 8 - Monetización y Suscripciones</t>
  </si>
  <si>
    <t xml:space="preserve">Congelada</t>
  </si>
  <si>
    <t xml:space="preserve">Investigador</t>
  </si>
  <si>
    <t xml:space="preserve">PREMIUM SCREEN</t>
  </si>
  <si>
    <t xml:space="preserve">El usuario puede iniciar el flujo de actualización de la cuenta haciendo clic en el botón "FREE" ubicado en el Header del Dashboard</t>
  </si>
  <si>
    <t xml:space="preserve">RNF0002, RNF0003, RNF0011, RNF0024, RNF0027</t>
  </si>
  <si>
    <t xml:space="preserve">Won't have</t>
  </si>
  <si>
    <t xml:space="preserve">RF0060</t>
  </si>
  <si>
    <t xml:space="preserve">El usuario puede seleccionar el plan que quiera al dar click en el botón FREE ubicado en el Header de la página (Etapa 1)</t>
  </si>
  <si>
    <t xml:space="preserve">RF0061</t>
  </si>
  <si>
    <t xml:space="preserve">El usuario puede confirmar su intención de compra haciendo clic en el botón "Continuar con el Pago" en la Pantalla de Pago (Etapa 1)</t>
  </si>
  <si>
    <t xml:space="preserve">RNF0003, RNF0009, RNF0011, RNF0013, RNF0015</t>
  </si>
  <si>
    <t xml:space="preserve">RF0062</t>
  </si>
  <si>
    <t xml:space="preserve">El usuario es redirigido a la Pantalla Principal haciendo clic en el botón “Cancelar” durante el flujo de pago suscripción en la Pantalla de Pago (Etapa 1)</t>
  </si>
  <si>
    <t xml:space="preserve">RNF0003, RNF0004, RNF0015</t>
  </si>
  <si>
    <t xml:space="preserve">RF0063</t>
  </si>
  <si>
    <t xml:space="preserve">El usuario puede seleccionar el método de pago (ej. Tarjeta de Crédito/Débito, PayPal) mediante botones de opciones en la Pantalla de Pago (Etapa 2)</t>
  </si>
  <si>
    <t xml:space="preserve">RF0064</t>
  </si>
  <si>
    <t xml:space="preserve">El usuario debe ingresar el Número de la Tarjeta en el campo de texto provisto en la Pantalla de Pago (Etapa 2)</t>
  </si>
  <si>
    <t xml:space="preserve">RNF0006, RNF0009, RNF0011, RNF0013</t>
  </si>
  <si>
    <t xml:space="preserve">RF0065</t>
  </si>
  <si>
    <t xml:space="preserve">El usuario debe ingresar el Nombre Completo tal como aparece en la tarjeta en el campo correspondiente en la Pantalla de Pago (Etapa 2)</t>
  </si>
  <si>
    <t xml:space="preserve">RNF0009, RNF0011, RNF0013</t>
  </si>
  <si>
    <t xml:space="preserve">RF0066</t>
  </si>
  <si>
    <t xml:space="preserve">El usuario debe seleccionar la Fecha de Vencimiento (Mes y Año) de la tarjeta usando menús desplegables en la Pantalla de Pago (Etapa 2)</t>
  </si>
  <si>
    <t xml:space="preserve">RF0067</t>
  </si>
  <si>
    <t xml:space="preserve">El usuario debe ingresar el Código de Seguridad (CVV) en el campo de texto provisto en la Pantalla de Pago (Etapa 2)</t>
  </si>
  <si>
    <t xml:space="preserve">RF0068</t>
  </si>
  <si>
    <t xml:space="preserve">El usuario debe ingresar la dirección de facturación (Calle, Ciudad, Código Postal, País) en los campos de texto y listas desplegables obligatorios en la Pantalla de Pago (Etapa 2)</t>
  </si>
  <si>
    <t xml:space="preserve">RF0069</t>
  </si>
  <si>
    <t xml:space="preserve">El usuario puede ejecutar el pago y la suscripción haciendo clic en el botón "Pagar y Suscribirse" o dar click en el botón Regresar (Etapa 2)</t>
  </si>
  <si>
    <t xml:space="preserve">RNF0002, RNF0006, RNF0009, RNF0010, RNF0013</t>
  </si>
  <si>
    <t xml:space="preserve">RF0070</t>
  </si>
  <si>
    <t xml:space="preserve">El usuario puede seleccionar el ciclo de facturación (ej. Mensual / Anual), lo que actualiza el precio final mostrado en la Pantalla de Pago (Etapa 2)</t>
  </si>
  <si>
    <t xml:space="preserve">RF0071</t>
  </si>
  <si>
    <t xml:space="preserve">El usuario es redirigido a la Confirmación de Suscripción después de que la pasarela de pago confirma que la transacción fue exitosa en la Pantalla de Pago (Etapa 3)</t>
  </si>
  <si>
    <t xml:space="preserve">RNF0002, RNF0004, RNF0011, RNF0013</t>
  </si>
  <si>
    <t xml:space="preserve">RF0072</t>
  </si>
  <si>
    <t xml:space="preserve">El usuario puede regresar a la Pantalla Principal haciendo clic en el botón principal "Ir al Dashboard" al finalizar la transacción en la Pantalla de Pago (Etapa 3)</t>
  </si>
  <si>
    <t xml:space="preserve">RNF0003, RNF0004, RNF0011, RNF0015</t>
  </si>
  <si>
    <t xml:space="preserve">RF0073</t>
  </si>
  <si>
    <t xml:space="preserve">El usuario puede acceder a la pestaña de gestión de su suscripción haciendo clic en un enlace secundario como "Gestionar Facturación", que lo lleva directamente a la pestaña "Suscripción / Facturación" desde la Pantalla de Pago (Etapa 3)</t>
  </si>
  <si>
    <t xml:space="preserve">RF0128</t>
  </si>
  <si>
    <t xml:space="preserve">PREMIUM SETTINGS</t>
  </si>
  <si>
    <t xml:space="preserve">El usuario puede acceder a la gestión de su plan, pagos y facturación haciendo clic en la pestaña (tab) "Suscripción / Facturación"</t>
  </si>
  <si>
    <t xml:space="preserve">RF0129</t>
  </si>
  <si>
    <t xml:space="preserve">El usuario puede cambiar el método de pago (ej. actualizar tarjeta) abriendo el formulario de pago simplificado en la pestaña Suscripción / Facturación de los Ajustes</t>
  </si>
  <si>
    <t xml:space="preserve">RF0130</t>
  </si>
  <si>
    <t xml:space="preserve">El usuario puede acceder y descargar el historial de facturación (recibos) en un formato legible en la pestaña Suscripción / Facturación de los Ajustes</t>
  </si>
  <si>
    <t xml:space="preserve">RF0131</t>
  </si>
  <si>
    <t xml:space="preserve">El usuario puede iniciar el flujo de Cancelación de Suscripción haciendo clic en el botón "Cancelar Suscripción" en la pestaña Suscripción / Facturación de los Ajustes</t>
  </si>
  <si>
    <t xml:space="preserve">RF0132</t>
  </si>
  <si>
    <t xml:space="preserve">El usuario puede confirmar la cancelación definitiva haciendo clic en el botón destructivo "Cancelar Suscripción de Todos Modos"</t>
  </si>
  <si>
    <t xml:space="preserve">RF0133</t>
  </si>
  <si>
    <t xml:space="preserve">El usuario puede cancelar el proceso de Cancelación de Suscripción y volver a la pestaña de gestión haciendo clic en el botón "Regresar"</t>
  </si>
  <si>
    <t xml:space="preserve">RF0134</t>
  </si>
  <si>
    <t xml:space="preserve">El usuario puede cambiar el ciclo de facturación (ej. de Mensual a Anual) o cambiar el plan haciendo clic en el botón "Cambiar Plan/Ciclo"</t>
  </si>
  <si>
    <t xml:space="preserve">RF0135</t>
  </si>
  <si>
    <t xml:space="preserve">Épica 9 - Soporte, Ayuda y Onboarding</t>
  </si>
  <si>
    <t xml:space="preserve">HELP SCREEN</t>
  </si>
  <si>
    <t xml:space="preserve">El usuario puede navegar a la Página Principal del Centro de Ayuda haciendo clic en el logo “MEUX Lab | Centro de Ayuda”</t>
  </si>
  <si>
    <t xml:space="preserve">RNF0001, RNF0011</t>
  </si>
  <si>
    <t xml:space="preserve">RF0136</t>
  </si>
  <si>
    <t xml:space="preserve">El usuario puede cambiar el idioma de la interfaz de la plataforma haciendo clic en el menú desplegable de Idiomas ubicado en el Header del Centro de Ayuda</t>
  </si>
  <si>
    <t xml:space="preserve">RF0137</t>
  </si>
  <si>
    <t xml:space="preserve">El usuario es redirigido a la Pantalla de Reporte haciendo clic en el botón "Contáctenos" ubicado en el Header del Centro de Ayuda</t>
  </si>
  <si>
    <t xml:space="preserve">RF0138</t>
  </si>
  <si>
    <t xml:space="preserve">MAIN HELP SCREEN</t>
  </si>
  <si>
    <t xml:space="preserve">El usuario puede buscar artículos de apoyo, guías y tutoriales escribiendo en la barra de búsqueda principal de la Pantalla Principal del Centro de Ayuda</t>
  </si>
  <si>
    <t xml:space="preserve">RF0139</t>
  </si>
  <si>
    <t xml:space="preserve">El usuario puede navegar a la Página de Listado de Subtemas de una categoría principal haciendo clic en la Tarjeta de Tema correspondiente</t>
  </si>
  <si>
    <t xml:space="preserve">RF0140</t>
  </si>
  <si>
    <t xml:space="preserve">El usuario puede acceder al contenido detallado de un artículo haciendo clic en el título de un Subtema de la lista</t>
  </si>
  <si>
    <t xml:space="preserve">RF0141</t>
  </si>
  <si>
    <t xml:space="preserve">El usuario puede saltar a secciones específicas dentro del artículo haciendo clic en los enlaces de la Tabla de Contenidos en el Artículo</t>
  </si>
  <si>
    <t xml:space="preserve">RF0142</t>
  </si>
  <si>
    <t xml:space="preserve">El usuario puede navegar a la fuente externa o al recurso vinculado haciendo clic en los enlaces de hipertexto incluidos en el cuerpo del Artículo</t>
  </si>
  <si>
    <t xml:space="preserve">RNF0004, RNF0011, RNF0015</t>
  </si>
  <si>
    <t xml:space="preserve">RF0143</t>
  </si>
  <si>
    <t xml:space="preserve">El usuario puede navegar hacia atrás a cualquier nivel jerárquico superior haciendo clic en cualquiera de los enlaces de la Ruta de Navegación ubicada en la parte superior del Artículo</t>
  </si>
  <si>
    <t xml:space="preserve">RNF0003, RNF0004, RNF0011, RNF0014, RNF0015</t>
  </si>
  <si>
    <t xml:space="preserve">RF0144</t>
  </si>
  <si>
    <t xml:space="preserve">HELP SIDEBAR MENU</t>
  </si>
  <si>
    <t xml:space="preserve">El usuario puede expandir y colapsar la lista de Subtemas en la Pantalla Principal del Centro de Ayuda haciendo clic en el título de la Categoría Principal (Tema) en el Menú Lateral</t>
  </si>
  <si>
    <t xml:space="preserve">RF0145</t>
  </si>
  <si>
    <t xml:space="preserve">El usuario puede navegar y visualizar el contenido completo de cualquier Subtema/Artículo de la Pantalla Principal del Centro de Ayuda haciendo clic en el título del elemento expandido</t>
  </si>
  <si>
    <t xml:space="preserve">RF0146</t>
  </si>
  <si>
    <t xml:space="preserve">El usuario puede volver a la parte superior de la página haciendo clic en el ícono de flecha arriba que es visible cuando se encuentra en la parte inferior de un artículo largo</t>
  </si>
  <si>
    <t xml:space="preserve">RF0147</t>
  </si>
  <si>
    <t xml:space="preserve">USER HELP SCREEN MENU</t>
  </si>
  <si>
    <t xml:space="preserve">El usuario puede desplegar el Menú de Administración del Perfil haciendo clic en su Foto de Perfil ubicada en el Header del Centro de Ayuda</t>
  </si>
  <si>
    <t xml:space="preserve">RF0148</t>
  </si>
  <si>
    <t xml:space="preserve">El usuario es redirigido a la Pantalla de Seguimiento de Soporte haciendo clic en la opción "Mi Actividad" en el Menú de Administración del Perfil</t>
  </si>
  <si>
    <t xml:space="preserve">RF0149</t>
  </si>
  <si>
    <t xml:space="preserve">El usuario es redirigido a la Landing Page y su sesión se cierra haciendo clic en la opción "Cerrar Sesión" en el Menú de Administración del Perfil</t>
  </si>
  <si>
    <t xml:space="preserve">RF0150</t>
  </si>
  <si>
    <t xml:space="preserve">REPORT SCREEN</t>
  </si>
  <si>
    <t xml:space="preserve">El usuario puede seleccionar la clasificación de la solicitud (ej. Reporte de Error, Solicitud de Función, Consulta General) antes de llenar el formulario principal de la Pantalla de Reporte</t>
  </si>
  <si>
    <t xml:space="preserve">RF0151</t>
  </si>
  <si>
    <t xml:space="preserve">El usuario debe ingresar un Asunto conciso y una Descripción detallada de la solicitud en los campos de texto correspondientes</t>
  </si>
  <si>
    <t xml:space="preserve">RF0152</t>
  </si>
  <si>
    <t xml:space="preserve">El usuario puede finalizar y enviar la solicitud al equipo de soporte haciendo clic en el botón "Enviar Solicitud"</t>
  </si>
  <si>
    <t xml:space="preserve">RF0153</t>
  </si>
  <si>
    <t xml:space="preserve">ACTIVITY SCREEN</t>
  </si>
  <si>
    <t xml:space="preserve">El usuario puede filtrar el listado de solicitudes de soporte haciendo clic en las pestañas (tabs) de estado: "Enviado", "En Revisión" y "Contestado"</t>
  </si>
  <si>
    <t xml:space="preserve">RF0154</t>
  </si>
  <si>
    <t xml:space="preserve">El usuario puede acceder a la vista detallada de la descripción del ticket haciendo clic en la tarjeta o fila de una solicitud en el listado</t>
  </si>
  <si>
    <t xml:space="preserve">RF0155</t>
  </si>
  <si>
    <t xml:space="preserve">El usuario puede alternar el ordenamiento del listado (Ascendente/Descendente) haciendo clic en el icono de flechas de ordenamiento ubicado en el encabezado de la columna de fecha</t>
  </si>
  <si>
    <t xml:space="preserve">RF0156</t>
  </si>
  <si>
    <t xml:space="preserve">FEEDBACK</t>
  </si>
  <si>
    <t xml:space="preserve">El usuario puede cerrar el Formulario de Feedback emergente haciendo clic en el ícono de "Cerrar" (X) en la ventana del Artículo</t>
  </si>
  <si>
    <t xml:space="preserve">RF0157</t>
  </si>
  <si>
    <t xml:space="preserve">El usuario puede enviar retroalimentación positiva haciendo clic en el botón "Sí" en el Formulario de feedback emergente en la ventana del Artículo</t>
  </si>
  <si>
    <t xml:space="preserve">RNF0002, RNF0009, RNF0013</t>
  </si>
  <si>
    <t xml:space="preserve">RF0158</t>
  </si>
  <si>
    <t xml:space="preserve">El usuario puede iniciar el flujo de detalle haciendo clic en el botón "No" en el Formulario de feedback emergente en la ventana del Artículo</t>
  </si>
  <si>
    <t xml:space="preserve">RF0159</t>
  </si>
  <si>
    <t xml:space="preserve">El usuario puede seleccionar opciones de clasificación haciendo clic en las opciones disponibles en el Formulario de feedback emergente en la ventana del Artículo</t>
  </si>
  <si>
    <t xml:space="preserve">RNF0003, RNF0011, RNF0013, RNF0014, RNF0015</t>
  </si>
  <si>
    <t xml:space="preserve">RF0160</t>
  </si>
  <si>
    <t xml:space="preserve">El usuario puede proporcionar comentarios detallados escribiendo en el campo de texto en el Formulario de feedback emergente en la ventana del Artículo</t>
  </si>
  <si>
    <t xml:space="preserve">RNF0011, RNF0013, RNF0014</t>
  </si>
  <si>
    <t xml:space="preserve">RF0161</t>
  </si>
  <si>
    <t xml:space="preserve">El usuario puede enviar la retroalimentación negativa final haciendo clic en el botón "Enviar" en el Formulario de feedback emergente en la ventana del Artículo</t>
  </si>
  <si>
    <t xml:space="preserve">RF0162</t>
  </si>
  <si>
    <t xml:space="preserve">El usuario puede retroceder en el formulario haciendo clic en el ícono de "Flecha Atrás" en el Formulario de feedback emergente en la ventana del Artículo</t>
  </si>
  <si>
    <t xml:space="preserve">RF0163</t>
  </si>
  <si>
    <t xml:space="preserve">TUTORIAL SCREEN</t>
  </si>
  <si>
    <t xml:space="preserve">El usuario puede decidir iniciar u omitir la Guía Interactiva después de registrarse desde la Pantalla de Bienvenida</t>
  </si>
  <si>
    <t xml:space="preserve">RF0164</t>
  </si>
  <si>
    <t xml:space="preserve">El usuario puede avanzar al siguiente paso de la Guía Interactiva haciendo clic en el botón "Siguiente" en el tooltip del paso actual</t>
  </si>
  <si>
    <t xml:space="preserve">RF0165</t>
  </si>
  <si>
    <t xml:space="preserve">El usuario puede retroceder al paso anterior haciendo clic en el botón "Anterior" en el tooltip de la Guía Interactiva (disponible a partir del Paso 2)</t>
  </si>
  <si>
    <t xml:space="preserve">RF0166</t>
  </si>
  <si>
    <t xml:space="preserve">El usuario puede finalizar el la Guía Interactiva haciendo clic en el botón "Finalizar Recorrido" y comenzar a usar la aplicación</t>
  </si>
  <si>
    <t xml:space="preserve">RNF0002, RNF0011, RNF0013, RNF0015</t>
  </si>
  <si>
    <t xml:space="preserve">Estado</t>
  </si>
  <si>
    <t xml:space="preserve">Total RF</t>
  </si>
  <si>
    <t xml:space="preserve">Alta Prioridad</t>
  </si>
  <si>
    <t xml:space="preserve">Moderada Prioridad</t>
  </si>
  <si>
    <t xml:space="preserve">Baja Prioridad</t>
  </si>
  <si>
    <t xml:space="preserve">Distribución MoSCoW (Backlog Completo)</t>
  </si>
  <si>
    <t xml:space="preserve">TOTAL</t>
  </si>
  <si>
    <t xml:space="preserve">Épica 6 - Módulos Específicos</t>
  </si>
  <si>
    <t xml:space="preserve">Épica 7 - Métricas, Reportes e Inteligencia de Datos</t>
  </si>
  <si>
    <t xml:space="preserve">ID RNF</t>
  </si>
  <si>
    <t xml:space="preserve">Nombre / Resumen</t>
  </si>
  <si>
    <t xml:space="preserve"># RF Asociados</t>
  </si>
  <si>
    <t xml:space="preserve">RF que lo referencian</t>
  </si>
  <si>
    <t xml:space="preserve">RNF0001</t>
  </si>
  <si>
    <t xml:space="preserve">La carga inicial completa (renderización y listado de datos) de las vistas principales (Dashboard, Ajustes, Proyectos) debe ser completada en: Menos de 3 segundos para el 90% de las solicitudes</t>
  </si>
  <si>
    <t xml:space="preserve">RF0120, RF0121, RF0122, RF0126, RF0127, RF0020, RF0021, RF0041, RF0042, RF0043, RF0044, RF0045, RF0046, RF0047, RF0048, RF0052, RF0056, RF0058, RF0077, RF0082, RF0083, RF0084, RF0086, RF00191, RF0128, RF0129, RF0130, RF0131, RF0132, RF0133, RF0134, RF0135, RF0136, RF0137, RF0138, RF0139, RF0140, RF0145, RF0146, RF0147, RF0148, RF0149, RF0152, RF0153</t>
  </si>
  <si>
    <t xml:space="preserve">RNF0002</t>
  </si>
  <si>
    <t xml:space="preserve">El tiempo de procesamiento de todas las transacciones de escritura (Registro, Login, Creación de Proyecto, Confirmación de Eliminación) debe ser retornado al usuario en: Menos de 2 segundos desde la interacción</t>
  </si>
  <si>
    <t xml:space="preserve">RF0008, RF0012, RF0013, RF0016, RF0017, RF0096, RF0101, RF0108, RF0123, RF0124, RF0125, RF0036, RF0078, RF0079, RF0080, RF0081, RF0084, RF0087, RF00186, RF00188, RF0115, RF0170, RF0178, RF0179, RF0180, RF0059, RF0069, RF0071, RF0144, RF0150, RF0151, RF0154, RF0155, RF0157, RF0161, RF0166</t>
  </si>
  <si>
    <t xml:space="preserve">RNF0003</t>
  </si>
  <si>
    <t xml:space="preserve">Los elementos dinámicos de la interfaz (despliegue de Modales, Menús Contextuales, Tooltips o Pop-ups de confirmación) deben ser mostrados y responder a las interacciones del usuario en: Menos de 200 milisegundos</t>
  </si>
  <si>
    <t xml:space="preserve">RF0014, RF0088, RF0089, RF0090, RF0091, RF0092, RF0093, RF0094, RF0095, RF0096, RF0097, RF0098, RF0099, RF0100, RF0101, RF0102, RF0103, RF0104, RF0105, RF0106, RF0107, RF0108, RF0109, RF0116, RF0117, RF0118, RF00119, RF0120, RF0121, RF0122, RF0123, RF0124, RF0125, RF0126, RF0127, RF0019, RF0020, RF0021, RF0022, RF0023, RF0024, RF0025, RF0026, RF0027, RF0028, RF0029, RF0030, RF0031, RF0032, RF0033, RF0034, RF0035, RF0037, RF0038, RF0039, RF0040, RF0041, RF0042, RF0043, RF0044, RF0045, RF0046, RF0047, RF0048, RF0049, RF0050, RF0051, RF0052, RF0053, RF0054, RF0055, RF0056, RF0057, RF0058, RF0074, RF0075, RF0076, RF0077, RF0078, RF0079, RF0080, RF0081, RF0082, RF0083, RF0084, RF0085, RF0086, RF0087, RF0113, RF0115, RF0167, RF0168, RF0169, RF0171, RF0172, RF0173, RF0174, RF0175, RF0176, RF0177, RF0181, RF0182, RF0183, RF0184, RF0185, RF00195, RF00197, RF0059, RF0060, RF0061, RF0062, RF0063, RF0070, RF0072, RF0073, RF0128, RF0129, RF0130, RF0131, RF0132, RF0133, RF0134, RF0136, RF0137, RF0138, RF0139, RF0140, RF0141, RF0143, RF0144, RF0145, RF0146, RF0147, RF0148, RF0149, RF0150, RF0151, RF0152, RF0153, RF0154, RF0155, RF0156, RF0158, RF0159, RF0162, RF0163, RF0164, RF0165</t>
  </si>
  <si>
    <t xml:space="preserve">RNF0004</t>
  </si>
  <si>
    <t xml:space="preserve">El tiempo transcurrido desde que se hace clic en un enlace de navegación hasta que la nueva página comienza a cargarse debe ser de: Menos de 1 segundo</t>
  </si>
  <si>
    <t xml:space="preserve">RF0002, RF0003, RF0004, RF0005, RF0006, RF0007, RF0015, RF0018, RF0167, RF0168, RF0169, RF0172, RF0177, RF0062, RF0071, RF0072, RF0073, RF0142, RF0143</t>
  </si>
  <si>
    <t xml:space="preserve">RNF0005</t>
  </si>
  <si>
    <t xml:space="preserve">Las solicitudes a procesos secundarios (ej. reenvío de correos, generación de reportes ligeros) deben ser procesadas y el feedback mostrado al usuario en: Menos de 5 segundos</t>
  </si>
  <si>
    <t xml:space="preserve">RNF0006</t>
  </si>
  <si>
    <t xml:space="preserve">Todas las contraseñas de usuario deben ser almacenadas y procesadas utilizando métodos criptográficos seguros: Utilizar un algoritmo de hashing unidireccional (ej. bcrypt o Argon2) con un factor de salting único y aleatorio</t>
  </si>
  <si>
    <t xml:space="preserve">RF0008, RF0012, RF0013, RF0017, RF0064, RF0067, RF0069</t>
  </si>
  <si>
    <t xml:space="preserve">RNF0007</t>
  </si>
  <si>
    <t xml:space="preserve">El sistema debe monitorear y restringir los intentos fallidos de inicio de sesión: Bloquear temporalmente la cuenta o la dirección IP por 30 minutos después de 5 intentos fallidos de contraseña</t>
  </si>
  <si>
    <t xml:space="preserve">RNF0008</t>
  </si>
  <si>
    <t xml:space="preserve">El sistema debe invalidar inmediatamente todas las sesiones activas, excepto la actual, al confirmarse la acción de "Cerrar Sesión en Todos los Dispositivos": Invalidación en tiempo real de los tokens de sesión remota al ejecutar el RF de cierre de sesión remota</t>
  </si>
  <si>
    <t xml:space="preserve">RF0036, RF0170</t>
  </si>
  <si>
    <t xml:space="preserve">RNF0009</t>
  </si>
  <si>
    <t xml:space="preserve">Toda la comunicación de datos entre el navegador del usuario y el servidor (incluyendo login, formularios y solicitudes a API) debe ser cifrada: Utilizar el protocolo HTTPS/TLS 1.2 o superior de extremo a extremo</t>
  </si>
  <si>
    <t xml:space="preserve">RF0008, RF0011, RF0012, RF0013, RF0017, RF0036, RF0075, RF00190, RF0170, RF00193, RF00195, RF00196, RF00197, RF0061, RF0063, RF0064, RF0065, RF0066, RF0067, RF0068, RF0069, RF0157, RF0161</t>
  </si>
  <si>
    <t xml:space="preserve">RNF0010</t>
  </si>
  <si>
    <t xml:space="preserve">Al confirmar la "Eliminación Permanente de Cuenta" o "Eliminación Definitiva de Proyectos", los datos asociados deben ser marcados para borrado y retirados del almacenamiento: Eliminación lógica e irreversible de todos los datos personales y de proyecto en un plazo máximo de 72 horas</t>
  </si>
  <si>
    <t xml:space="preserve">RF0075, RF0180, RF0069</t>
  </si>
  <si>
    <t xml:space="preserve">RNF0011</t>
  </si>
  <si>
    <t xml:space="preserve">Todos los elementos de la interfaz (header, footer, botones, formularios, paleta de colores y tipografía) deben ser uniformes y coherentes en todas las vistas, desde la Landing Page hasta las pantallas internas de la aplicación. Cumplir al 100% con la guía de estilo y el branding definidos en el Design System</t>
  </si>
  <si>
    <t xml:space="preserve">RF0001, RF0002, RF0003, RF0004, RF0005, RF0006, RF0007, RF0008, RF0009, RF0010, RF0011, RF0014, RF0015, RF0088, RF0089, RF0090, RF0091, RF0092, RF0093, RF0094, RF0095, RF0096, RF0097, RF0098, RF0099, RF0100, RF0101, RF0102, RF0103, RF0104, RF0105, RF0106, RF0107, RF0108, RF0109, RF0116, RF0117, RF0118, RF00119, RF0120, RF0121, RF0122, RF0123, RF0124, RF0125, RF0126, RF0127, RF0018, RF0019, RF0020, RF0021, RF0022, RF0023, RF0024, RF0025, RF0026, RF0027, RF0028, RF0029, RF0030, RF0031, RF0032, RF0033, RF0034, RF0035, RF0036, RF0037, RF0038, RF0039, RF0040, RF0041, RF0042, RF0043, RF0044, RF0045, RF0046, RF0047, RF0048, RF0049, RF0050, RF0051, RF0052, RF0053, RF0054, RF0055, RF0056, RF0057, RF0058, RF0074, RF0075, RF0076, RF0077, RF0078, RF0079, RF0080, RF0081, RF0082, RF0083, RF0084, RF0085, RF0086, RF0087, RF0110, RF0111, RF0112, RF0113, RF0114, RF0115, RF0175, RF0176, RF0185, RF0059, RF0060, RF0061, RF0063, RF0064, RF0065, RF0066, RF0067, RF0068, RF0070, RF0071, RF0072, RF0073, RF0128, RF0129, RF0130, RF0131, RF0132, RF0133, RF0134, RF0135, RF0136, RF0137, RF0138, RF0139, RF0140, RF0141, RF0142, RF0143, RF0144, RF0145, RF0146, RF0147, RF0148, RF0149, RF0150, RF0151, RF0152, RF0153, RF0154, RF0155, RF0158, RF0159, RF0160, RF0163, RF0164, RF0165, RF0166</t>
  </si>
  <si>
    <t xml:space="preserve">RNF0012</t>
  </si>
  <si>
    <t xml:space="preserve">El diseño de la aplicación debe ajustarse dinámicamente para mantener la funcionalidad, legibilidad y estética: Funcionalidad y usabilidad completas en resoluciones desde 320px (móvil) hasta 1920px (escritorio), sin necesidad de scroll horizontal</t>
  </si>
  <si>
    <t xml:space="preserve">RF0001, RF0002, RF0003, RF0004, RF0005, RF0006, RF0007, RF0088, RF0089, RF0095, RF0097, RF0098, RF0099, RF0100, RF0102, RF0103, RF0104, RF0105, RF0106, RF0107, RF0116, RF0117, RF0118, RF00119, RF0018, RF0019, RF0031, RF0032, RF0033, RF0034, RF0035, RF0037, RF0038, RF0039, RF0040, RF0041, RF0057, RF0058, RF0110, RF0111, RF0112, RF0113, RF0114</t>
  </si>
  <si>
    <t xml:space="preserve">El sistema debe proporcionar feedback visual y textual inmediato al usuario tras cualquier interacción (positiva, negativa o neutra): Mostrar mensajes de confirmación de éxito (ej. "Contraseña Actualizada"), advertencias, y mensajes de error claros y accionables (código y descripción)</t>
  </si>
  <si>
    <t xml:space="preserve">RF0014, RF0015, RF0016, RF0090, RF0091, RF0092, RF0093, RF0094, RF0096, RF0101, RF0108, RF0109, RF0120, RF0121, RF0122, RF0123, RF0124, RF0125, RF0126, RF0127, RF0020, RF0024, RF0025, RF0026, RF0028, RF0029, RF0030, RF0047, RF0048, RF0052, RF0055, RF0056, RF0074, RF0075, RF0076, RF0077, RF0078, RF0079, RF0080, RF0081, RF0082, RF0083, RF0085, RF0087, RF00187, RF00190, RF00192, RF00199, RF0115, RF0178, RF0179, RF0180, RF0060, RF0061, RF0063, RF0064, RF0065, RF0066, RF0067, RF0068, RF0069, RF0071, RF0128, RF0129, RF0130, RF0131, RF0132, RF0133, RF0134, RF0136, RF0137, RF0138, RF0139, RF0140, RF0144, RF0145, RF0146, RF0147, RF0148, RF0149, RF0150, RF0151, RF0152, RF0153, RF0154, RF0155, RF0157, RF0158, RF0159, RF0160, RF0161, RF0163, RF0164, RF0166</t>
  </si>
  <si>
    <t xml:space="preserve">RNF0014</t>
  </si>
  <si>
    <t xml:space="preserve">La funcionalidad clave de la aplicación debe ser accesible y operable sin el uso del mouse, incluyendo la navegación entre elementos, la activación de botones y el cierre de modales: Cumplir con el estándar WCAG 2.1 Nivel A y garantizar la operación completa mediante las teclas Tab, Shift+Tab y Esc</t>
  </si>
  <si>
    <t xml:space="preserve">RF0110, RF0111, RF0112, RF0113, RF0114, RF0167, RF0168, RF0169, RF0170, RF0171, RF0172, RF0173, RF0174, RF0175, RF0176, RF0177, RF0178, RF0179, RF0180, RF0181, RF0182, RF0183, RF0184, RF0185, RF0141, RF0143, RF0156, RF0159, RF0160, RF0162, RF0164, RF0165</t>
  </si>
  <si>
    <t xml:space="preserve">RNF0015</t>
  </si>
  <si>
    <t xml:space="preserve">Todos los patrones de interacción definidos (ej. arrastrar y soltar, tooltips, modales de confirmación) deben comportarse de forma predecible y consistente a lo largo de toda la aplicación. El uso de la tecla Esc debe cerrar cualquier ventana emergente, menú contextual o tooltip activo</t>
  </si>
  <si>
    <t xml:space="preserve">RF0001, RF0014, RF0088, RF0089, RF0090, RF0091, RF0092, RF0093, RF0094, RF0100, RF0109, RF0122, RF0125, RF0019, RF0022, RF0023, RF0024, RF0025, RF0027, RF0029, RF0041, RF0042, RF0043, RF0044, RF0045, RF0046, RF0047, RF0048, RF0049, RF0050, RF0052, RF0053, RF0054, RF0055, RF0056, RF0057, RF0058, RF0074, RF0075, RF0076, RF0078, RF0079, RF0084, RF0085, RF0086, RF0087, RF0110, RF0111, RF0112, RF0113, RF0114, RF0167, RF0168, RF0169, RF0170, RF0171, RF0172, RF0173, RF0174, RF0175, RF0176, RF0177, RF0178, RF0179, RF0180, RF0181, RF0182, RF0183, RF0184, RF0185, RF0060, RF0061, RF0062, RF0063, RF0070, RF0072, RF0073, RF0131, RF0133, RF0136, RF0138, RF0141, RF0142, RF0143, RF0149, RF0154, RF0155, RF0156, RF0158, RF0159, RF0162, RF0163, RF0164, RF0165, RF0166</t>
  </si>
  <si>
    <t xml:space="preserve">RNF0016</t>
  </si>
  <si>
    <t xml:space="preserve">La aplicación debe garantizar funcionalidad completa y rendimiento óptimo en los navegadores más utilizados: Soporte total para las dos últimas versiones estables de Google Chrome, Mozilla Firefox, Apple Safari y Microsoft Edge</t>
  </si>
  <si>
    <t xml:space="preserve">RNF0017</t>
  </si>
  <si>
    <t xml:space="preserve">La interfaz debe mantener la coherencia visual y la funcionalidad en diferentes plataformas de escritorio y móviles: Soporte total para las dos últimas versiones principales de Windows, macOS, Android (Chrome) e iOS (Safari)</t>
  </si>
  <si>
    <t xml:space="preserve">RNF0018</t>
  </si>
  <si>
    <t xml:space="preserve">La aplicación debe adherirse a los estándares web actuales para garantizar la interoperabilidad y el rendimiento a largo plazo: Todo el código front-end debe ser válido según los estándares HTML5, CSS3 y JavaScript ES6 o superior</t>
  </si>
  <si>
    <t xml:space="preserve">RF0089, RF0095</t>
  </si>
  <si>
    <t xml:space="preserve">RNF0019</t>
  </si>
  <si>
    <t xml:space="preserve">La aplicación debe ser completamente funcional y legible incluso en las resoluciones de pantalla más pequeñas utilizadas por el mercado objetivo: Soporte completo para una resolución mínima de 360px de ancho en dispositivos móviles y 1280x720 en escritorio</t>
  </si>
  <si>
    <t xml:space="preserve">RF0055, RF0074</t>
  </si>
  <si>
    <t xml:space="preserve">RNF0020</t>
  </si>
  <si>
    <t xml:space="preserve">El sistema debe estar accesible y completamente funcional para los usuarios finales: Garantizar una disponibilidad (uptime) mínima del 99.9% durante el horario de servicio (24/7)</t>
  </si>
  <si>
    <t xml:space="preserve">RNF0021</t>
  </si>
  <si>
    <t xml:space="preserve">En caso de fallo de un componente no crítico (ej. microservicio secundario), el sistema debe mantener la funcionalidad clave (login, creación y edición de proyectos): Mantener la operación de las funciones críticas sin degradación de rendimiento</t>
  </si>
  <si>
    <t xml:space="preserve">RF0042, RF00188, RF00194</t>
  </si>
  <si>
    <t xml:space="preserve">RNF0022</t>
  </si>
  <si>
    <t xml:space="preserve">Se debe realizar una copia de seguridad completa de la base de datos de forma periódica: Realizar un backup completo diariamente y almacenarlo fuera del sitio por un mínimo de 7 días</t>
  </si>
  <si>
    <t xml:space="preserve">RNF0023</t>
  </si>
  <si>
    <t xml:space="preserve">En caso de un fallo catastrófico (ej. caída completa del servidor principal), el sistema debe ser capaz de restaurar la operación: El tiempo de recuperación total (RTO) no debe exceder las 4 horas desde la detección del fallo</t>
  </si>
  <si>
    <t xml:space="preserve">— SIN COBERTURA —</t>
  </si>
  <si>
    <t xml:space="preserve">RNF0024</t>
  </si>
  <si>
    <t xml:space="preserve">El sistema debe mantener los umbrales de rendimiento definidos (carga &lt;3s, transacción &lt;2s) al operar simultáneamente: Soportar eficientemente 500 usuarios concurrentes activos en la plataforma</t>
  </si>
  <si>
    <t xml:space="preserve">RF0084, RF00193, RF00194, RF0059</t>
  </si>
  <si>
    <t xml:space="preserve">RNF0025</t>
  </si>
  <si>
    <t xml:space="preserve">La arquitectura de la base de datos debe ser capaz de gestionar un volumen creciente de datos de proyecto sin degradación del rendimiento: Soportar un crecimiento de datos del 30% anual manteniendo los tiempos de respuesta definidos</t>
  </si>
  <si>
    <t xml:space="preserve">RF00196, RF00198</t>
  </si>
  <si>
    <t xml:space="preserve">RNF0026</t>
  </si>
  <si>
    <t xml:space="preserve">El sistema debe permitir a cada usuario individual crear y gestionar un número considerable de proyectos: Permitir la creación y gestión de 100 proyectos activos por usuario sin experimentar degradación en la carga del Dashboard</t>
  </si>
  <si>
    <t xml:space="preserve">PENDIENTE — depende del modelo de suscripción (Épica 8, congelada). No es un olvido: se resolverá cuando se desarrolle Épica 8.</t>
  </si>
  <si>
    <t xml:space="preserve">RNF0027</t>
  </si>
  <si>
    <t xml:space="preserve">La infraestructura de hosting debe estar dimensionada para manejar picos de tráfico inducidos por campañas o lanzamientos: Soportar el doble del tráfico promedio diario durante períodos sostenidos de hasta 6 horas</t>
  </si>
  <si>
    <t xml:space="preserve">Todo el código desarrollado debe seguir un estándar de codificación consistente y ser documentado con comentarios y guías para facilitar su mantenimiento</t>
  </si>
  <si>
    <t xml:space="preserve">RF00186, RF00189, RF00191, RF00199</t>
  </si>
  <si>
    <t xml:space="preserve">RNF0029</t>
  </si>
  <si>
    <t xml:space="preserve">El sistema debe incluir enlaces visibles y accesibles a la Política de Privacidad y los Términos y Condiciones, los cuales deben ser aceptados durante el flujo de registro</t>
  </si>
  <si>
    <t xml:space="preserve">RF0008, RF0009, RF0010, RF0011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</si>
</sst>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85FA5"/>
        <bgColor rgb="FF008080"/>
      </patternFill>
    </fill>
    <fill>
      <patternFill patternType="solid">
        <fgColor rgb="FFFFF2CC"/>
        <bgColor rgb="FFF2F2F2"/>
      </patternFill>
    </fill>
    <fill>
      <patternFill patternType="solid">
        <fgColor rgb="FFC6EFCE"/>
        <bgColor rgb="FFDDEBF7"/>
      </patternFill>
    </fill>
    <fill>
      <patternFill patternType="solid">
        <fgColor rgb="FFDDEBF7"/>
        <bgColor rgb="FFF2F2F2"/>
      </patternFill>
    </fill>
    <fill>
      <patternFill patternType="solid">
        <fgColor rgb="FFF2F2F2"/>
        <bgColor rgb="FFDDEBF7"/>
      </patternFill>
    </fill>
    <fill>
      <patternFill patternType="solid">
        <fgColor rgb="FFFFC7CE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85FA5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C7CE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185FA5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0" max="4" min="4" style="0" width="26"/>
    <col collapsed="false" customWidth="true" hidden="false" outlineLevel="0" max="5" min="5" style="0" width="20"/>
    <col collapsed="false" customWidth="true" hidden="false" outlineLevel="0" max="6" min="6" style="0" width="55"/>
    <col collapsed="false" customWidth="true" hidden="false" outlineLevel="0" max="7" min="7" style="0" width="18"/>
    <col collapsed="false" customWidth="true" hidden="false" outlineLevel="0" max="8" min="8" style="0" width="12"/>
    <col collapsed="false" customWidth="true" hidden="false" outlineLevel="0" max="9" min="9" style="0" width="11"/>
    <col collapsed="false" customWidth="true" hidden="false" outlineLevel="0" max="10" min="10" style="0" width="12"/>
    <col collapsed="false" customWidth="true" hidden="false" outlineLevel="0" max="11" min="11" style="0" width="8"/>
    <col collapsed="false" customWidth="true" hidden="false" outlineLevel="0" max="12" min="12" style="0" width="9"/>
    <col collapsed="false" customWidth="true" hidden="false" outlineLevel="0" max="13" min="13" style="0" width="22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46.25" hidden="false" customHeight="false" outlineLevel="0" collapsed="false">
      <c r="A2" s="2" t="s">
        <v>13</v>
      </c>
      <c r="B2" s="3" t="s">
        <v>14</v>
      </c>
      <c r="C2" s="2" t="s">
        <v>15</v>
      </c>
      <c r="D2" s="3" t="s">
        <v>16</v>
      </c>
      <c r="E2" s="3" t="s">
        <v>17</v>
      </c>
      <c r="F2" s="3" t="s">
        <v>18</v>
      </c>
      <c r="G2" s="3" t="s">
        <v>19</v>
      </c>
      <c r="H2" s="2" t="s">
        <v>20</v>
      </c>
      <c r="I2" s="2" t="s">
        <v>21</v>
      </c>
      <c r="J2" s="2" t="s">
        <v>21</v>
      </c>
      <c r="K2" s="2" t="s">
        <v>22</v>
      </c>
      <c r="L2" s="2" t="s">
        <v>22</v>
      </c>
      <c r="M2" s="4" t="s">
        <v>23</v>
      </c>
    </row>
    <row r="3" customFormat="false" ht="23.85" hidden="false" customHeight="false" outlineLevel="0" collapsed="false">
      <c r="A3" s="2" t="s">
        <v>24</v>
      </c>
      <c r="B3" s="3" t="s">
        <v>14</v>
      </c>
      <c r="C3" s="2" t="s">
        <v>15</v>
      </c>
      <c r="D3" s="3" t="s">
        <v>16</v>
      </c>
      <c r="E3" s="3" t="s">
        <v>25</v>
      </c>
      <c r="F3" s="3" t="s">
        <v>26</v>
      </c>
      <c r="G3" s="3" t="s">
        <v>27</v>
      </c>
      <c r="H3" s="2" t="s">
        <v>20</v>
      </c>
      <c r="I3" s="2" t="s">
        <v>28</v>
      </c>
      <c r="J3" s="2" t="s">
        <v>21</v>
      </c>
      <c r="K3" s="2" t="s">
        <v>22</v>
      </c>
      <c r="L3" s="2" t="s">
        <v>22</v>
      </c>
      <c r="M3" s="5" t="s">
        <v>29</v>
      </c>
    </row>
    <row r="4" customFormat="false" ht="35.05" hidden="false" customHeight="false" outlineLevel="0" collapsed="false">
      <c r="A4" s="2" t="s">
        <v>30</v>
      </c>
      <c r="B4" s="3" t="s">
        <v>14</v>
      </c>
      <c r="C4" s="2" t="s">
        <v>15</v>
      </c>
      <c r="D4" s="3" t="s">
        <v>16</v>
      </c>
      <c r="E4" s="3" t="s">
        <v>25</v>
      </c>
      <c r="F4" s="3" t="s">
        <v>31</v>
      </c>
      <c r="G4" s="3" t="s">
        <v>27</v>
      </c>
      <c r="H4" s="2" t="s">
        <v>20</v>
      </c>
      <c r="I4" s="2" t="s">
        <v>28</v>
      </c>
      <c r="J4" s="2" t="s">
        <v>21</v>
      </c>
      <c r="K4" s="2" t="s">
        <v>22</v>
      </c>
      <c r="L4" s="2" t="s">
        <v>22</v>
      </c>
      <c r="M4" s="5" t="s">
        <v>29</v>
      </c>
    </row>
    <row r="5" customFormat="false" ht="23.85" hidden="false" customHeight="false" outlineLevel="0" collapsed="false">
      <c r="A5" s="2" t="s">
        <v>32</v>
      </c>
      <c r="B5" s="3" t="s">
        <v>14</v>
      </c>
      <c r="C5" s="2" t="s">
        <v>15</v>
      </c>
      <c r="D5" s="3" t="s">
        <v>16</v>
      </c>
      <c r="E5" s="3" t="s">
        <v>25</v>
      </c>
      <c r="F5" s="3" t="s">
        <v>33</v>
      </c>
      <c r="G5" s="3" t="s">
        <v>27</v>
      </c>
      <c r="H5" s="2" t="s">
        <v>20</v>
      </c>
      <c r="I5" s="2" t="s">
        <v>34</v>
      </c>
      <c r="J5" s="2" t="s">
        <v>21</v>
      </c>
      <c r="K5" s="2" t="s">
        <v>22</v>
      </c>
      <c r="L5" s="2" t="s">
        <v>22</v>
      </c>
      <c r="M5" s="6" t="s">
        <v>35</v>
      </c>
    </row>
    <row r="6" customFormat="false" ht="35.05" hidden="false" customHeight="false" outlineLevel="0" collapsed="false">
      <c r="A6" s="2" t="s">
        <v>36</v>
      </c>
      <c r="B6" s="3" t="s">
        <v>14</v>
      </c>
      <c r="C6" s="2" t="s">
        <v>15</v>
      </c>
      <c r="D6" s="3" t="s">
        <v>16</v>
      </c>
      <c r="E6" s="3" t="s">
        <v>25</v>
      </c>
      <c r="F6" s="3" t="s">
        <v>37</v>
      </c>
      <c r="G6" s="3" t="s">
        <v>27</v>
      </c>
      <c r="H6" s="2" t="s">
        <v>20</v>
      </c>
      <c r="I6" s="2" t="s">
        <v>28</v>
      </c>
      <c r="J6" s="2" t="s">
        <v>21</v>
      </c>
      <c r="K6" s="2" t="s">
        <v>22</v>
      </c>
      <c r="L6" s="2" t="s">
        <v>22</v>
      </c>
      <c r="M6" s="5" t="s">
        <v>29</v>
      </c>
    </row>
    <row r="7" customFormat="false" ht="23.85" hidden="false" customHeight="false" outlineLevel="0" collapsed="false">
      <c r="A7" s="2" t="s">
        <v>38</v>
      </c>
      <c r="B7" s="3" t="s">
        <v>14</v>
      </c>
      <c r="C7" s="2" t="s">
        <v>15</v>
      </c>
      <c r="D7" s="3" t="s">
        <v>16</v>
      </c>
      <c r="E7" s="3" t="s">
        <v>25</v>
      </c>
      <c r="F7" s="3" t="s">
        <v>39</v>
      </c>
      <c r="G7" s="3" t="s">
        <v>27</v>
      </c>
      <c r="H7" s="2" t="s">
        <v>20</v>
      </c>
      <c r="I7" s="2" t="s">
        <v>34</v>
      </c>
      <c r="J7" s="2" t="s">
        <v>21</v>
      </c>
      <c r="K7" s="2" t="s">
        <v>22</v>
      </c>
      <c r="L7" s="2" t="s">
        <v>22</v>
      </c>
      <c r="M7" s="6" t="s">
        <v>35</v>
      </c>
    </row>
    <row r="8" customFormat="false" ht="35.05" hidden="false" customHeight="false" outlineLevel="0" collapsed="false">
      <c r="A8" s="2" t="s">
        <v>40</v>
      </c>
      <c r="B8" s="3" t="s">
        <v>14</v>
      </c>
      <c r="C8" s="2" t="s">
        <v>15</v>
      </c>
      <c r="D8" s="3" t="s">
        <v>16</v>
      </c>
      <c r="E8" s="3" t="s">
        <v>41</v>
      </c>
      <c r="F8" s="3" t="s">
        <v>42</v>
      </c>
      <c r="G8" s="3" t="s">
        <v>27</v>
      </c>
      <c r="H8" s="2" t="s">
        <v>20</v>
      </c>
      <c r="I8" s="2" t="s">
        <v>28</v>
      </c>
      <c r="J8" s="2" t="s">
        <v>21</v>
      </c>
      <c r="K8" s="2" t="s">
        <v>22</v>
      </c>
      <c r="L8" s="2" t="s">
        <v>22</v>
      </c>
      <c r="M8" s="5" t="s">
        <v>29</v>
      </c>
    </row>
    <row r="9" customFormat="false" ht="35.05" hidden="false" customHeight="false" outlineLevel="0" collapsed="false">
      <c r="A9" s="2" t="s">
        <v>43</v>
      </c>
      <c r="B9" s="3" t="s">
        <v>14</v>
      </c>
      <c r="C9" s="2" t="s">
        <v>15</v>
      </c>
      <c r="D9" s="3" t="s">
        <v>16</v>
      </c>
      <c r="E9" s="3" t="s">
        <v>41</v>
      </c>
      <c r="F9" s="3" t="s">
        <v>44</v>
      </c>
      <c r="G9" s="3" t="s">
        <v>45</v>
      </c>
      <c r="H9" s="2" t="s">
        <v>20</v>
      </c>
      <c r="I9" s="2" t="s">
        <v>28</v>
      </c>
      <c r="J9" s="2" t="s">
        <v>21</v>
      </c>
      <c r="K9" s="2" t="s">
        <v>22</v>
      </c>
      <c r="L9" s="2" t="s">
        <v>22</v>
      </c>
      <c r="M9" s="5" t="s">
        <v>29</v>
      </c>
    </row>
    <row r="10" customFormat="false" ht="35.05" hidden="false" customHeight="false" outlineLevel="0" collapsed="false">
      <c r="A10" s="2" t="s">
        <v>46</v>
      </c>
      <c r="B10" s="3" t="s">
        <v>14</v>
      </c>
      <c r="C10" s="2" t="s">
        <v>15</v>
      </c>
      <c r="D10" s="3" t="s">
        <v>16</v>
      </c>
      <c r="E10" s="3" t="s">
        <v>41</v>
      </c>
      <c r="F10" s="3" t="s">
        <v>47</v>
      </c>
      <c r="G10" s="3" t="s">
        <v>48</v>
      </c>
      <c r="H10" s="2"/>
      <c r="I10" s="2" t="s">
        <v>34</v>
      </c>
      <c r="J10" s="2" t="s">
        <v>21</v>
      </c>
      <c r="K10" s="2" t="s">
        <v>22</v>
      </c>
      <c r="L10" s="2" t="s">
        <v>22</v>
      </c>
      <c r="M10" s="6" t="s">
        <v>35</v>
      </c>
    </row>
    <row r="11" customFormat="false" ht="35.05" hidden="false" customHeight="false" outlineLevel="0" collapsed="false">
      <c r="A11" s="2" t="s">
        <v>49</v>
      </c>
      <c r="B11" s="3" t="s">
        <v>14</v>
      </c>
      <c r="C11" s="2" t="s">
        <v>15</v>
      </c>
      <c r="D11" s="3" t="s">
        <v>16</v>
      </c>
      <c r="E11" s="3" t="s">
        <v>41</v>
      </c>
      <c r="F11" s="3" t="s">
        <v>50</v>
      </c>
      <c r="G11" s="3" t="s">
        <v>48</v>
      </c>
      <c r="H11" s="2"/>
      <c r="I11" s="2" t="s">
        <v>34</v>
      </c>
      <c r="J11" s="2" t="s">
        <v>21</v>
      </c>
      <c r="K11" s="2" t="s">
        <v>22</v>
      </c>
      <c r="L11" s="2" t="s">
        <v>22</v>
      </c>
      <c r="M11" s="6" t="s">
        <v>35</v>
      </c>
    </row>
    <row r="12" customFormat="false" ht="35.05" hidden="false" customHeight="false" outlineLevel="0" collapsed="false">
      <c r="A12" s="2" t="s">
        <v>51</v>
      </c>
      <c r="B12" s="3" t="s">
        <v>14</v>
      </c>
      <c r="C12" s="2" t="s">
        <v>15</v>
      </c>
      <c r="D12" s="3" t="s">
        <v>16</v>
      </c>
      <c r="E12" s="3" t="s">
        <v>41</v>
      </c>
      <c r="F12" s="3" t="s">
        <v>52</v>
      </c>
      <c r="G12" s="3" t="s">
        <v>53</v>
      </c>
      <c r="H12" s="2"/>
      <c r="I12" s="2" t="s">
        <v>28</v>
      </c>
      <c r="J12" s="2" t="s">
        <v>21</v>
      </c>
      <c r="K12" s="2" t="s">
        <v>22</v>
      </c>
      <c r="L12" s="2" t="s">
        <v>22</v>
      </c>
      <c r="M12" s="5" t="s">
        <v>29</v>
      </c>
    </row>
    <row r="13" customFormat="false" ht="35.05" hidden="false" customHeight="false" outlineLevel="0" collapsed="false">
      <c r="A13" s="2" t="s">
        <v>54</v>
      </c>
      <c r="B13" s="3" t="s">
        <v>14</v>
      </c>
      <c r="C13" s="2" t="s">
        <v>15</v>
      </c>
      <c r="D13" s="3" t="s">
        <v>16</v>
      </c>
      <c r="E13" s="3" t="s">
        <v>55</v>
      </c>
      <c r="F13" s="3" t="s">
        <v>56</v>
      </c>
      <c r="G13" s="3" t="s">
        <v>57</v>
      </c>
      <c r="H13" s="2" t="s">
        <v>20</v>
      </c>
      <c r="I13" s="2" t="s">
        <v>28</v>
      </c>
      <c r="J13" s="2" t="s">
        <v>21</v>
      </c>
      <c r="K13" s="2" t="s">
        <v>22</v>
      </c>
      <c r="L13" s="2" t="s">
        <v>22</v>
      </c>
      <c r="M13" s="5" t="s">
        <v>29</v>
      </c>
    </row>
    <row r="14" customFormat="false" ht="23.85" hidden="false" customHeight="false" outlineLevel="0" collapsed="false">
      <c r="A14" s="2" t="s">
        <v>58</v>
      </c>
      <c r="B14" s="3" t="s">
        <v>14</v>
      </c>
      <c r="C14" s="2" t="s">
        <v>15</v>
      </c>
      <c r="D14" s="3" t="s">
        <v>16</v>
      </c>
      <c r="E14" s="3" t="s">
        <v>55</v>
      </c>
      <c r="F14" s="3" t="s">
        <v>59</v>
      </c>
      <c r="G14" s="3" t="s">
        <v>60</v>
      </c>
      <c r="H14" s="2" t="s">
        <v>20</v>
      </c>
      <c r="I14" s="2" t="s">
        <v>28</v>
      </c>
      <c r="J14" s="2" t="s">
        <v>34</v>
      </c>
      <c r="K14" s="2" t="s">
        <v>22</v>
      </c>
      <c r="L14" s="2" t="s">
        <v>22</v>
      </c>
      <c r="M14" s="5" t="s">
        <v>29</v>
      </c>
    </row>
    <row r="15" customFormat="false" ht="23.85" hidden="false" customHeight="false" outlineLevel="0" collapsed="false">
      <c r="A15" s="2" t="s">
        <v>61</v>
      </c>
      <c r="B15" s="3" t="s">
        <v>14</v>
      </c>
      <c r="C15" s="2" t="s">
        <v>15</v>
      </c>
      <c r="D15" s="3" t="s">
        <v>16</v>
      </c>
      <c r="E15" s="3" t="s">
        <v>55</v>
      </c>
      <c r="F15" s="3" t="s">
        <v>62</v>
      </c>
      <c r="G15" s="3" t="s">
        <v>63</v>
      </c>
      <c r="H15" s="2" t="s">
        <v>20</v>
      </c>
      <c r="I15" s="2" t="s">
        <v>28</v>
      </c>
      <c r="J15" s="2" t="s">
        <v>21</v>
      </c>
      <c r="K15" s="2" t="s">
        <v>22</v>
      </c>
      <c r="L15" s="2" t="s">
        <v>22</v>
      </c>
      <c r="M15" s="5" t="s">
        <v>29</v>
      </c>
    </row>
    <row r="16" customFormat="false" ht="23.85" hidden="false" customHeight="false" outlineLevel="0" collapsed="false">
      <c r="A16" s="2" t="s">
        <v>64</v>
      </c>
      <c r="B16" s="3" t="s">
        <v>14</v>
      </c>
      <c r="C16" s="2" t="s">
        <v>15</v>
      </c>
      <c r="D16" s="3" t="s">
        <v>16</v>
      </c>
      <c r="E16" s="3" t="s">
        <v>55</v>
      </c>
      <c r="F16" s="3" t="s">
        <v>65</v>
      </c>
      <c r="G16" s="3" t="s">
        <v>66</v>
      </c>
      <c r="H16" s="2" t="s">
        <v>20</v>
      </c>
      <c r="I16" s="2" t="s">
        <v>28</v>
      </c>
      <c r="J16" s="2" t="s">
        <v>21</v>
      </c>
      <c r="K16" s="2" t="s">
        <v>22</v>
      </c>
      <c r="L16" s="2" t="s">
        <v>22</v>
      </c>
      <c r="M16" s="5" t="s">
        <v>29</v>
      </c>
    </row>
    <row r="17" customFormat="false" ht="23.85" hidden="false" customHeight="false" outlineLevel="0" collapsed="false">
      <c r="A17" s="2" t="s">
        <v>67</v>
      </c>
      <c r="B17" s="3" t="s">
        <v>14</v>
      </c>
      <c r="C17" s="2" t="s">
        <v>15</v>
      </c>
      <c r="D17" s="3" t="s">
        <v>16</v>
      </c>
      <c r="E17" s="3" t="s">
        <v>68</v>
      </c>
      <c r="F17" s="3" t="s">
        <v>69</v>
      </c>
      <c r="G17" s="3" t="s">
        <v>70</v>
      </c>
      <c r="H17" s="2" t="s">
        <v>20</v>
      </c>
      <c r="I17" s="2" t="s">
        <v>28</v>
      </c>
      <c r="J17" s="2" t="s">
        <v>34</v>
      </c>
      <c r="K17" s="2" t="s">
        <v>22</v>
      </c>
      <c r="L17" s="2" t="s">
        <v>22</v>
      </c>
      <c r="M17" s="5" t="s">
        <v>29</v>
      </c>
    </row>
    <row r="18" customFormat="false" ht="35.05" hidden="false" customHeight="false" outlineLevel="0" collapsed="false">
      <c r="A18" s="2" t="s">
        <v>71</v>
      </c>
      <c r="B18" s="3" t="s">
        <v>14</v>
      </c>
      <c r="C18" s="2" t="s">
        <v>15</v>
      </c>
      <c r="D18" s="3" t="s">
        <v>16</v>
      </c>
      <c r="E18" s="3" t="s">
        <v>68</v>
      </c>
      <c r="F18" s="3" t="s">
        <v>72</v>
      </c>
      <c r="G18" s="3" t="s">
        <v>60</v>
      </c>
      <c r="H18" s="2" t="s">
        <v>20</v>
      </c>
      <c r="I18" s="2" t="s">
        <v>28</v>
      </c>
      <c r="J18" s="2" t="s">
        <v>34</v>
      </c>
      <c r="K18" s="2" t="s">
        <v>22</v>
      </c>
      <c r="L18" s="2" t="s">
        <v>22</v>
      </c>
      <c r="M18" s="5" t="s">
        <v>29</v>
      </c>
    </row>
    <row r="19" customFormat="false" ht="23.85" hidden="false" customHeight="false" outlineLevel="0" collapsed="false">
      <c r="A19" s="2" t="s">
        <v>73</v>
      </c>
      <c r="B19" s="3" t="s">
        <v>14</v>
      </c>
      <c r="C19" s="2" t="s">
        <v>15</v>
      </c>
      <c r="D19" s="3" t="s">
        <v>16</v>
      </c>
      <c r="E19" s="3" t="s">
        <v>74</v>
      </c>
      <c r="F19" s="3" t="s">
        <v>75</v>
      </c>
      <c r="G19" s="3" t="s">
        <v>76</v>
      </c>
      <c r="H19" s="2" t="s">
        <v>20</v>
      </c>
      <c r="I19" s="2" t="s">
        <v>28</v>
      </c>
      <c r="J19" s="2" t="s">
        <v>21</v>
      </c>
      <c r="K19" s="2" t="s">
        <v>22</v>
      </c>
      <c r="L19" s="2" t="s">
        <v>22</v>
      </c>
      <c r="M19" s="5" t="s">
        <v>29</v>
      </c>
    </row>
    <row r="20" customFormat="false" ht="35.05" hidden="false" customHeight="false" outlineLevel="0" collapsed="false">
      <c r="A20" s="2" t="s">
        <v>77</v>
      </c>
      <c r="B20" s="3" t="s">
        <v>14</v>
      </c>
      <c r="C20" s="2" t="s">
        <v>15</v>
      </c>
      <c r="D20" s="3" t="s">
        <v>16</v>
      </c>
      <c r="E20" s="3" t="s">
        <v>74</v>
      </c>
      <c r="F20" s="3" t="s">
        <v>78</v>
      </c>
      <c r="G20" s="3" t="s">
        <v>79</v>
      </c>
      <c r="H20" s="2" t="s">
        <v>20</v>
      </c>
      <c r="I20" s="2" t="s">
        <v>21</v>
      </c>
      <c r="J20" s="2" t="s">
        <v>34</v>
      </c>
      <c r="K20" s="2" t="s">
        <v>22</v>
      </c>
      <c r="L20" s="2" t="s">
        <v>22</v>
      </c>
      <c r="M20" s="4" t="s">
        <v>23</v>
      </c>
    </row>
    <row r="21" customFormat="false" ht="23.85" hidden="false" customHeight="false" outlineLevel="0" collapsed="false">
      <c r="A21" s="2" t="s">
        <v>80</v>
      </c>
      <c r="B21" s="3" t="s">
        <v>14</v>
      </c>
      <c r="C21" s="2" t="s">
        <v>15</v>
      </c>
      <c r="D21" s="3" t="s">
        <v>16</v>
      </c>
      <c r="E21" s="3" t="s">
        <v>74</v>
      </c>
      <c r="F21" s="3" t="s">
        <v>81</v>
      </c>
      <c r="G21" s="3" t="s">
        <v>63</v>
      </c>
      <c r="H21" s="2" t="s">
        <v>20</v>
      </c>
      <c r="I21" s="2" t="s">
        <v>21</v>
      </c>
      <c r="J21" s="2" t="s">
        <v>21</v>
      </c>
      <c r="K21" s="2" t="s">
        <v>22</v>
      </c>
      <c r="L21" s="2" t="s">
        <v>22</v>
      </c>
      <c r="M21" s="4" t="s">
        <v>23</v>
      </c>
    </row>
    <row r="22" customFormat="false" ht="23.85" hidden="false" customHeight="false" outlineLevel="0" collapsed="false">
      <c r="A22" s="2" t="s">
        <v>82</v>
      </c>
      <c r="B22" s="3" t="s">
        <v>14</v>
      </c>
      <c r="C22" s="2" t="s">
        <v>15</v>
      </c>
      <c r="D22" s="3" t="s">
        <v>16</v>
      </c>
      <c r="E22" s="3" t="s">
        <v>74</v>
      </c>
      <c r="F22" s="3" t="s">
        <v>83</v>
      </c>
      <c r="G22" s="3" t="s">
        <v>63</v>
      </c>
      <c r="H22" s="2" t="s">
        <v>20</v>
      </c>
      <c r="I22" s="2" t="s">
        <v>21</v>
      </c>
      <c r="J22" s="2" t="s">
        <v>21</v>
      </c>
      <c r="K22" s="2" t="s">
        <v>22</v>
      </c>
      <c r="L22" s="2" t="s">
        <v>22</v>
      </c>
      <c r="M22" s="4" t="s">
        <v>23</v>
      </c>
    </row>
    <row r="23" customFormat="false" ht="23.85" hidden="false" customHeight="false" outlineLevel="0" collapsed="false">
      <c r="A23" s="2" t="s">
        <v>84</v>
      </c>
      <c r="B23" s="3" t="s">
        <v>14</v>
      </c>
      <c r="C23" s="2" t="s">
        <v>15</v>
      </c>
      <c r="D23" s="3" t="s">
        <v>16</v>
      </c>
      <c r="E23" s="3" t="s">
        <v>74</v>
      </c>
      <c r="F23" s="3" t="s">
        <v>85</v>
      </c>
      <c r="G23" s="3" t="s">
        <v>63</v>
      </c>
      <c r="H23" s="2" t="s">
        <v>20</v>
      </c>
      <c r="I23" s="2" t="s">
        <v>21</v>
      </c>
      <c r="J23" s="2" t="s">
        <v>21</v>
      </c>
      <c r="K23" s="2" t="s">
        <v>22</v>
      </c>
      <c r="L23" s="2" t="s">
        <v>22</v>
      </c>
      <c r="M23" s="4" t="s">
        <v>23</v>
      </c>
    </row>
    <row r="24" customFormat="false" ht="23.85" hidden="false" customHeight="false" outlineLevel="0" collapsed="false">
      <c r="A24" s="2" t="s">
        <v>86</v>
      </c>
      <c r="B24" s="3" t="s">
        <v>14</v>
      </c>
      <c r="C24" s="2" t="s">
        <v>15</v>
      </c>
      <c r="D24" s="3" t="s">
        <v>16</v>
      </c>
      <c r="E24" s="3" t="s">
        <v>74</v>
      </c>
      <c r="F24" s="3" t="s">
        <v>87</v>
      </c>
      <c r="G24" s="3" t="s">
        <v>63</v>
      </c>
      <c r="H24" s="2" t="s">
        <v>20</v>
      </c>
      <c r="I24" s="2" t="s">
        <v>21</v>
      </c>
      <c r="J24" s="2" t="s">
        <v>21</v>
      </c>
      <c r="K24" s="2" t="s">
        <v>22</v>
      </c>
      <c r="L24" s="2" t="s">
        <v>22</v>
      </c>
      <c r="M24" s="4" t="s">
        <v>23</v>
      </c>
    </row>
    <row r="25" customFormat="false" ht="23.85" hidden="false" customHeight="false" outlineLevel="0" collapsed="false">
      <c r="A25" s="2" t="s">
        <v>88</v>
      </c>
      <c r="B25" s="3" t="s">
        <v>14</v>
      </c>
      <c r="C25" s="2" t="s">
        <v>15</v>
      </c>
      <c r="D25" s="3" t="s">
        <v>16</v>
      </c>
      <c r="E25" s="3" t="s">
        <v>74</v>
      </c>
      <c r="F25" s="3" t="s">
        <v>89</v>
      </c>
      <c r="G25" s="3" t="s">
        <v>63</v>
      </c>
      <c r="H25" s="2" t="s">
        <v>20</v>
      </c>
      <c r="I25" s="2" t="s">
        <v>21</v>
      </c>
      <c r="J25" s="2" t="s">
        <v>21</v>
      </c>
      <c r="K25" s="2" t="s">
        <v>22</v>
      </c>
      <c r="L25" s="2" t="s">
        <v>22</v>
      </c>
      <c r="M25" s="4" t="s">
        <v>23</v>
      </c>
    </row>
    <row r="26" customFormat="false" ht="35.05" hidden="false" customHeight="false" outlineLevel="0" collapsed="false">
      <c r="A26" s="2" t="s">
        <v>90</v>
      </c>
      <c r="B26" s="3" t="s">
        <v>14</v>
      </c>
      <c r="C26" s="2" t="s">
        <v>15</v>
      </c>
      <c r="D26" s="3" t="s">
        <v>16</v>
      </c>
      <c r="E26" s="3" t="s">
        <v>74</v>
      </c>
      <c r="F26" s="3" t="s">
        <v>91</v>
      </c>
      <c r="G26" s="3" t="s">
        <v>92</v>
      </c>
      <c r="H26" s="2" t="s">
        <v>20</v>
      </c>
      <c r="I26" s="2" t="s">
        <v>28</v>
      </c>
      <c r="J26" s="2" t="s">
        <v>34</v>
      </c>
      <c r="K26" s="2" t="s">
        <v>22</v>
      </c>
      <c r="L26" s="2" t="s">
        <v>22</v>
      </c>
      <c r="M26" s="5" t="s">
        <v>29</v>
      </c>
    </row>
    <row r="27" customFormat="false" ht="35.05" hidden="false" customHeight="false" outlineLevel="0" collapsed="false">
      <c r="A27" s="2" t="s">
        <v>93</v>
      </c>
      <c r="B27" s="3" t="s">
        <v>14</v>
      </c>
      <c r="C27" s="2" t="s">
        <v>15</v>
      </c>
      <c r="D27" s="3" t="s">
        <v>16</v>
      </c>
      <c r="E27" s="3" t="s">
        <v>74</v>
      </c>
      <c r="F27" s="3" t="s">
        <v>94</v>
      </c>
      <c r="G27" s="3" t="s">
        <v>95</v>
      </c>
      <c r="H27" s="2" t="s">
        <v>20</v>
      </c>
      <c r="I27" s="2" t="s">
        <v>28</v>
      </c>
      <c r="J27" s="2" t="s">
        <v>28</v>
      </c>
      <c r="K27" s="2" t="s">
        <v>22</v>
      </c>
      <c r="L27" s="2" t="s">
        <v>22</v>
      </c>
      <c r="M27" s="5" t="s">
        <v>29</v>
      </c>
    </row>
    <row r="28" customFormat="false" ht="23.85" hidden="false" customHeight="false" outlineLevel="0" collapsed="false">
      <c r="A28" s="2" t="s">
        <v>96</v>
      </c>
      <c r="B28" s="3" t="s">
        <v>14</v>
      </c>
      <c r="C28" s="2" t="s">
        <v>15</v>
      </c>
      <c r="D28" s="3" t="s">
        <v>16</v>
      </c>
      <c r="E28" s="3" t="s">
        <v>97</v>
      </c>
      <c r="F28" s="3" t="s">
        <v>98</v>
      </c>
      <c r="G28" s="3" t="s">
        <v>99</v>
      </c>
      <c r="H28" s="2" t="s">
        <v>20</v>
      </c>
      <c r="I28" s="2" t="s">
        <v>28</v>
      </c>
      <c r="J28" s="2" t="s">
        <v>21</v>
      </c>
      <c r="K28" s="2" t="s">
        <v>22</v>
      </c>
      <c r="L28" s="2" t="s">
        <v>22</v>
      </c>
      <c r="M28" s="5" t="s">
        <v>29</v>
      </c>
    </row>
    <row r="29" customFormat="false" ht="35.05" hidden="false" customHeight="false" outlineLevel="0" collapsed="false">
      <c r="A29" s="2" t="s">
        <v>100</v>
      </c>
      <c r="B29" s="3" t="s">
        <v>14</v>
      </c>
      <c r="C29" s="2" t="s">
        <v>15</v>
      </c>
      <c r="D29" s="3" t="s">
        <v>16</v>
      </c>
      <c r="E29" s="3" t="s">
        <v>97</v>
      </c>
      <c r="F29" s="3" t="s">
        <v>101</v>
      </c>
      <c r="G29" s="3" t="s">
        <v>99</v>
      </c>
      <c r="H29" s="2" t="s">
        <v>20</v>
      </c>
      <c r="I29" s="2" t="s">
        <v>28</v>
      </c>
      <c r="J29" s="2" t="s">
        <v>28</v>
      </c>
      <c r="K29" s="2" t="s">
        <v>22</v>
      </c>
      <c r="L29" s="2" t="s">
        <v>22</v>
      </c>
      <c r="M29" s="5" t="s">
        <v>29</v>
      </c>
    </row>
    <row r="30" customFormat="false" ht="23.85" hidden="false" customHeight="false" outlineLevel="0" collapsed="false">
      <c r="A30" s="2" t="s">
        <v>102</v>
      </c>
      <c r="B30" s="3" t="s">
        <v>14</v>
      </c>
      <c r="C30" s="2" t="s">
        <v>15</v>
      </c>
      <c r="D30" s="3" t="s">
        <v>16</v>
      </c>
      <c r="E30" s="3" t="s">
        <v>97</v>
      </c>
      <c r="F30" s="3" t="s">
        <v>103</v>
      </c>
      <c r="G30" s="3" t="s">
        <v>99</v>
      </c>
      <c r="H30" s="2" t="s">
        <v>20</v>
      </c>
      <c r="I30" s="2" t="s">
        <v>21</v>
      </c>
      <c r="J30" s="2" t="s">
        <v>34</v>
      </c>
      <c r="K30" s="2" t="s">
        <v>22</v>
      </c>
      <c r="L30" s="2" t="s">
        <v>22</v>
      </c>
      <c r="M30" s="4" t="s">
        <v>23</v>
      </c>
    </row>
    <row r="31" customFormat="false" ht="23.85" hidden="false" customHeight="false" outlineLevel="0" collapsed="false">
      <c r="A31" s="2" t="s">
        <v>104</v>
      </c>
      <c r="B31" s="3" t="s">
        <v>14</v>
      </c>
      <c r="C31" s="2" t="s">
        <v>15</v>
      </c>
      <c r="D31" s="3" t="s">
        <v>16</v>
      </c>
      <c r="E31" s="3" t="s">
        <v>97</v>
      </c>
      <c r="F31" s="3" t="s">
        <v>105</v>
      </c>
      <c r="G31" s="3" t="s">
        <v>76</v>
      </c>
      <c r="H31" s="2" t="s">
        <v>20</v>
      </c>
      <c r="I31" s="2" t="s">
        <v>21</v>
      </c>
      <c r="J31" s="2" t="s">
        <v>34</v>
      </c>
      <c r="K31" s="2" t="s">
        <v>22</v>
      </c>
      <c r="L31" s="2" t="s">
        <v>22</v>
      </c>
      <c r="M31" s="4" t="s">
        <v>23</v>
      </c>
    </row>
    <row r="32" customFormat="false" ht="35.05" hidden="false" customHeight="false" outlineLevel="0" collapsed="false">
      <c r="A32" s="2" t="s">
        <v>106</v>
      </c>
      <c r="B32" s="3" t="s">
        <v>14</v>
      </c>
      <c r="C32" s="2" t="s">
        <v>15</v>
      </c>
      <c r="D32" s="3" t="s">
        <v>16</v>
      </c>
      <c r="E32" s="3" t="s">
        <v>97</v>
      </c>
      <c r="F32" s="3" t="s">
        <v>107</v>
      </c>
      <c r="G32" s="3" t="s">
        <v>95</v>
      </c>
      <c r="H32" s="2" t="s">
        <v>20</v>
      </c>
      <c r="I32" s="2" t="s">
        <v>34</v>
      </c>
      <c r="J32" s="2" t="s">
        <v>28</v>
      </c>
      <c r="K32" s="2" t="s">
        <v>22</v>
      </c>
      <c r="L32" s="2" t="s">
        <v>22</v>
      </c>
      <c r="M32" s="6" t="s">
        <v>35</v>
      </c>
    </row>
    <row r="33" customFormat="false" ht="23.85" hidden="false" customHeight="false" outlineLevel="0" collapsed="false">
      <c r="A33" s="2" t="s">
        <v>108</v>
      </c>
      <c r="B33" s="3" t="s">
        <v>14</v>
      </c>
      <c r="C33" s="2" t="s">
        <v>15</v>
      </c>
      <c r="D33" s="3" t="s">
        <v>16</v>
      </c>
      <c r="E33" s="3" t="s">
        <v>109</v>
      </c>
      <c r="F33" s="3" t="s">
        <v>110</v>
      </c>
      <c r="G33" s="3" t="s">
        <v>99</v>
      </c>
      <c r="H33" s="2" t="s">
        <v>20</v>
      </c>
      <c r="I33" s="2" t="s">
        <v>34</v>
      </c>
      <c r="J33" s="2" t="s">
        <v>21</v>
      </c>
      <c r="K33" s="2" t="s">
        <v>22</v>
      </c>
      <c r="L33" s="2" t="s">
        <v>22</v>
      </c>
      <c r="M33" s="6" t="s">
        <v>35</v>
      </c>
    </row>
    <row r="34" customFormat="false" ht="35.05" hidden="false" customHeight="false" outlineLevel="0" collapsed="false">
      <c r="A34" s="2" t="s">
        <v>111</v>
      </c>
      <c r="B34" s="3" t="s">
        <v>14</v>
      </c>
      <c r="C34" s="2" t="s">
        <v>15</v>
      </c>
      <c r="D34" s="3" t="s">
        <v>16</v>
      </c>
      <c r="E34" s="3" t="s">
        <v>109</v>
      </c>
      <c r="F34" s="3" t="s">
        <v>112</v>
      </c>
      <c r="G34" s="3" t="s">
        <v>99</v>
      </c>
      <c r="H34" s="2" t="s">
        <v>20</v>
      </c>
      <c r="I34" s="2" t="s">
        <v>34</v>
      </c>
      <c r="J34" s="2" t="s">
        <v>34</v>
      </c>
      <c r="K34" s="2" t="s">
        <v>22</v>
      </c>
      <c r="L34" s="2" t="s">
        <v>22</v>
      </c>
      <c r="M34" s="6" t="s">
        <v>35</v>
      </c>
    </row>
    <row r="35" customFormat="false" ht="35.05" hidden="false" customHeight="false" outlineLevel="0" collapsed="false">
      <c r="A35" s="2" t="s">
        <v>113</v>
      </c>
      <c r="B35" s="3" t="s">
        <v>14</v>
      </c>
      <c r="C35" s="2" t="s">
        <v>15</v>
      </c>
      <c r="D35" s="3" t="s">
        <v>16</v>
      </c>
      <c r="E35" s="3" t="s">
        <v>109</v>
      </c>
      <c r="F35" s="3" t="s">
        <v>114</v>
      </c>
      <c r="G35" s="3" t="s">
        <v>99</v>
      </c>
      <c r="H35" s="2" t="s">
        <v>20</v>
      </c>
      <c r="I35" s="2" t="s">
        <v>34</v>
      </c>
      <c r="J35" s="2" t="s">
        <v>34</v>
      </c>
      <c r="K35" s="2" t="s">
        <v>22</v>
      </c>
      <c r="L35" s="2" t="s">
        <v>22</v>
      </c>
      <c r="M35" s="6" t="s">
        <v>35</v>
      </c>
    </row>
    <row r="36" customFormat="false" ht="46.25" hidden="false" customHeight="false" outlineLevel="0" collapsed="false">
      <c r="A36" s="2" t="s">
        <v>115</v>
      </c>
      <c r="B36" s="3" t="s">
        <v>14</v>
      </c>
      <c r="C36" s="2" t="s">
        <v>15</v>
      </c>
      <c r="D36" s="3" t="s">
        <v>16</v>
      </c>
      <c r="E36" s="3" t="s">
        <v>109</v>
      </c>
      <c r="F36" s="3" t="s">
        <v>116</v>
      </c>
      <c r="G36" s="3" t="s">
        <v>99</v>
      </c>
      <c r="H36" s="2" t="s">
        <v>20</v>
      </c>
      <c r="I36" s="2" t="s">
        <v>34</v>
      </c>
      <c r="J36" s="2" t="s">
        <v>28</v>
      </c>
      <c r="K36" s="2" t="s">
        <v>22</v>
      </c>
      <c r="L36" s="2" t="s">
        <v>22</v>
      </c>
      <c r="M36" s="6" t="s">
        <v>35</v>
      </c>
    </row>
    <row r="37" customFormat="false" ht="46.25" hidden="false" customHeight="false" outlineLevel="0" collapsed="false">
      <c r="A37" s="2" t="s">
        <v>117</v>
      </c>
      <c r="B37" s="3" t="s">
        <v>14</v>
      </c>
      <c r="C37" s="2" t="s">
        <v>15</v>
      </c>
      <c r="D37" s="3" t="s">
        <v>16</v>
      </c>
      <c r="E37" s="3" t="s">
        <v>109</v>
      </c>
      <c r="F37" s="3" t="s">
        <v>118</v>
      </c>
      <c r="G37" s="3" t="s">
        <v>99</v>
      </c>
      <c r="H37" s="2" t="s">
        <v>20</v>
      </c>
      <c r="I37" s="2" t="s">
        <v>34</v>
      </c>
      <c r="J37" s="2" t="s">
        <v>28</v>
      </c>
      <c r="K37" s="2" t="s">
        <v>22</v>
      </c>
      <c r="L37" s="2" t="s">
        <v>22</v>
      </c>
      <c r="M37" s="6" t="s">
        <v>35</v>
      </c>
    </row>
    <row r="38" customFormat="false" ht="35.05" hidden="false" customHeight="false" outlineLevel="0" collapsed="false">
      <c r="A38" s="2" t="s">
        <v>119</v>
      </c>
      <c r="B38" s="3" t="s">
        <v>14</v>
      </c>
      <c r="C38" s="2" t="s">
        <v>15</v>
      </c>
      <c r="D38" s="3" t="s">
        <v>16</v>
      </c>
      <c r="E38" s="3" t="s">
        <v>109</v>
      </c>
      <c r="F38" s="3" t="s">
        <v>120</v>
      </c>
      <c r="G38" s="3" t="s">
        <v>99</v>
      </c>
      <c r="H38" s="2" t="s">
        <v>20</v>
      </c>
      <c r="I38" s="2" t="s">
        <v>34</v>
      </c>
      <c r="J38" s="2" t="s">
        <v>28</v>
      </c>
      <c r="K38" s="2" t="s">
        <v>22</v>
      </c>
      <c r="L38" s="2" t="s">
        <v>22</v>
      </c>
      <c r="M38" s="6" t="s">
        <v>35</v>
      </c>
    </row>
    <row r="39" customFormat="false" ht="35.05" hidden="false" customHeight="false" outlineLevel="0" collapsed="false">
      <c r="A39" s="2" t="s">
        <v>121</v>
      </c>
      <c r="B39" s="3" t="s">
        <v>14</v>
      </c>
      <c r="C39" s="2" t="s">
        <v>15</v>
      </c>
      <c r="D39" s="3" t="s">
        <v>16</v>
      </c>
      <c r="E39" s="3" t="s">
        <v>109</v>
      </c>
      <c r="F39" s="3" t="s">
        <v>122</v>
      </c>
      <c r="G39" s="3" t="s">
        <v>95</v>
      </c>
      <c r="H39" s="2" t="s">
        <v>20</v>
      </c>
      <c r="I39" s="2" t="s">
        <v>28</v>
      </c>
      <c r="J39" s="2" t="s">
        <v>28</v>
      </c>
      <c r="K39" s="2" t="s">
        <v>22</v>
      </c>
      <c r="L39" s="2" t="s">
        <v>22</v>
      </c>
      <c r="M39" s="5" t="s">
        <v>29</v>
      </c>
    </row>
    <row r="40" customFormat="false" ht="46.25" hidden="false" customHeight="false" outlineLevel="0" collapsed="false">
      <c r="A40" s="2" t="s">
        <v>123</v>
      </c>
      <c r="B40" s="3" t="s">
        <v>14</v>
      </c>
      <c r="C40" s="2" t="s">
        <v>15</v>
      </c>
      <c r="D40" s="3" t="s">
        <v>16</v>
      </c>
      <c r="E40" s="3" t="s">
        <v>109</v>
      </c>
      <c r="F40" s="3" t="s">
        <v>124</v>
      </c>
      <c r="G40" s="3" t="s">
        <v>63</v>
      </c>
      <c r="H40" s="2" t="s">
        <v>20</v>
      </c>
      <c r="I40" s="2" t="s">
        <v>28</v>
      </c>
      <c r="J40" s="2" t="s">
        <v>28</v>
      </c>
      <c r="K40" s="2" t="s">
        <v>22</v>
      </c>
      <c r="L40" s="2" t="s">
        <v>22</v>
      </c>
      <c r="M40" s="5" t="s">
        <v>29</v>
      </c>
    </row>
    <row r="41" customFormat="false" ht="35.05" hidden="false" customHeight="false" outlineLevel="0" collapsed="false">
      <c r="A41" s="2" t="s">
        <v>125</v>
      </c>
      <c r="B41" s="3" t="s">
        <v>14</v>
      </c>
      <c r="C41" s="2" t="s">
        <v>15</v>
      </c>
      <c r="D41" s="3" t="s">
        <v>16</v>
      </c>
      <c r="E41" s="3" t="s">
        <v>126</v>
      </c>
      <c r="F41" s="3" t="s">
        <v>127</v>
      </c>
      <c r="G41" s="3" t="s">
        <v>99</v>
      </c>
      <c r="H41" s="2" t="s">
        <v>20</v>
      </c>
      <c r="I41" s="2" t="s">
        <v>28</v>
      </c>
      <c r="J41" s="2" t="s">
        <v>21</v>
      </c>
      <c r="K41" s="2" t="s">
        <v>22</v>
      </c>
      <c r="L41" s="2" t="s">
        <v>22</v>
      </c>
      <c r="M41" s="5" t="s">
        <v>29</v>
      </c>
    </row>
    <row r="42" customFormat="false" ht="35.05" hidden="false" customHeight="false" outlineLevel="0" collapsed="false">
      <c r="A42" s="2" t="s">
        <v>128</v>
      </c>
      <c r="B42" s="3" t="s">
        <v>14</v>
      </c>
      <c r="C42" s="2" t="s">
        <v>15</v>
      </c>
      <c r="D42" s="3" t="s">
        <v>16</v>
      </c>
      <c r="E42" s="3" t="s">
        <v>126</v>
      </c>
      <c r="F42" s="3" t="s">
        <v>129</v>
      </c>
      <c r="G42" s="3" t="s">
        <v>99</v>
      </c>
      <c r="H42" s="2" t="s">
        <v>20</v>
      </c>
      <c r="I42" s="2" t="s">
        <v>34</v>
      </c>
      <c r="J42" s="2" t="s">
        <v>34</v>
      </c>
      <c r="K42" s="2" t="s">
        <v>22</v>
      </c>
      <c r="L42" s="2" t="s">
        <v>22</v>
      </c>
      <c r="M42" s="6" t="s">
        <v>35</v>
      </c>
    </row>
    <row r="43" customFormat="false" ht="35.05" hidden="false" customHeight="false" outlineLevel="0" collapsed="false">
      <c r="A43" s="2" t="s">
        <v>130</v>
      </c>
      <c r="B43" s="3" t="s">
        <v>14</v>
      </c>
      <c r="C43" s="2" t="s">
        <v>15</v>
      </c>
      <c r="D43" s="3" t="s">
        <v>16</v>
      </c>
      <c r="E43" s="3" t="s">
        <v>126</v>
      </c>
      <c r="F43" s="3" t="s">
        <v>131</v>
      </c>
      <c r="G43" s="3" t="s">
        <v>99</v>
      </c>
      <c r="H43" s="2" t="s">
        <v>20</v>
      </c>
      <c r="I43" s="2" t="s">
        <v>34</v>
      </c>
      <c r="J43" s="2" t="s">
        <v>21</v>
      </c>
      <c r="K43" s="2" t="s">
        <v>22</v>
      </c>
      <c r="L43" s="2" t="s">
        <v>22</v>
      </c>
      <c r="M43" s="6" t="s">
        <v>35</v>
      </c>
    </row>
    <row r="44" customFormat="false" ht="35.05" hidden="false" customHeight="false" outlineLevel="0" collapsed="false">
      <c r="A44" s="2" t="s">
        <v>132</v>
      </c>
      <c r="B44" s="3" t="s">
        <v>14</v>
      </c>
      <c r="C44" s="2" t="s">
        <v>15</v>
      </c>
      <c r="D44" s="3" t="s">
        <v>16</v>
      </c>
      <c r="E44" s="3" t="s">
        <v>126</v>
      </c>
      <c r="F44" s="3" t="s">
        <v>133</v>
      </c>
      <c r="G44" s="3" t="s">
        <v>99</v>
      </c>
      <c r="H44" s="2" t="s">
        <v>20</v>
      </c>
      <c r="I44" s="2" t="s">
        <v>34</v>
      </c>
      <c r="J44" s="2" t="s">
        <v>21</v>
      </c>
      <c r="K44" s="2" t="s">
        <v>22</v>
      </c>
      <c r="L44" s="2" t="s">
        <v>22</v>
      </c>
      <c r="M44" s="6" t="s">
        <v>35</v>
      </c>
    </row>
    <row r="45" customFormat="false" ht="23.85" hidden="false" customHeight="false" outlineLevel="0" collapsed="false">
      <c r="A45" s="2" t="s">
        <v>134</v>
      </c>
      <c r="B45" s="3" t="s">
        <v>14</v>
      </c>
      <c r="C45" s="2" t="s">
        <v>15</v>
      </c>
      <c r="D45" s="3" t="s">
        <v>16</v>
      </c>
      <c r="E45" s="3" t="s">
        <v>126</v>
      </c>
      <c r="F45" s="3" t="s">
        <v>135</v>
      </c>
      <c r="G45" s="3" t="s">
        <v>136</v>
      </c>
      <c r="H45" s="2" t="s">
        <v>20</v>
      </c>
      <c r="I45" s="2" t="s">
        <v>34</v>
      </c>
      <c r="J45" s="2" t="s">
        <v>34</v>
      </c>
      <c r="K45" s="2" t="s">
        <v>22</v>
      </c>
      <c r="L45" s="2" t="s">
        <v>22</v>
      </c>
      <c r="M45" s="6" t="s">
        <v>35</v>
      </c>
    </row>
    <row r="46" customFormat="false" ht="35.05" hidden="false" customHeight="false" outlineLevel="0" collapsed="false">
      <c r="A46" s="2" t="s">
        <v>137</v>
      </c>
      <c r="B46" s="3" t="s">
        <v>14</v>
      </c>
      <c r="C46" s="2" t="s">
        <v>15</v>
      </c>
      <c r="D46" s="3" t="s">
        <v>16</v>
      </c>
      <c r="E46" s="3" t="s">
        <v>126</v>
      </c>
      <c r="F46" s="3" t="s">
        <v>138</v>
      </c>
      <c r="G46" s="3" t="s">
        <v>136</v>
      </c>
      <c r="H46" s="2" t="s">
        <v>20</v>
      </c>
      <c r="I46" s="2" t="s">
        <v>28</v>
      </c>
      <c r="J46" s="2" t="s">
        <v>21</v>
      </c>
      <c r="K46" s="2" t="s">
        <v>22</v>
      </c>
      <c r="L46" s="2" t="s">
        <v>22</v>
      </c>
      <c r="M46" s="5" t="s">
        <v>29</v>
      </c>
    </row>
    <row r="47" customFormat="false" ht="35.05" hidden="false" customHeight="false" outlineLevel="0" collapsed="false">
      <c r="A47" s="2" t="s">
        <v>139</v>
      </c>
      <c r="B47" s="3" t="s">
        <v>14</v>
      </c>
      <c r="C47" s="2" t="s">
        <v>15</v>
      </c>
      <c r="D47" s="3" t="s">
        <v>16</v>
      </c>
      <c r="E47" s="3" t="s">
        <v>126</v>
      </c>
      <c r="F47" s="3" t="s">
        <v>140</v>
      </c>
      <c r="G47" s="3" t="s">
        <v>141</v>
      </c>
      <c r="H47" s="2" t="s">
        <v>20</v>
      </c>
      <c r="I47" s="2" t="s">
        <v>28</v>
      </c>
      <c r="J47" s="2" t="s">
        <v>21</v>
      </c>
      <c r="K47" s="2" t="s">
        <v>22</v>
      </c>
      <c r="L47" s="2" t="s">
        <v>22</v>
      </c>
      <c r="M47" s="5" t="s">
        <v>29</v>
      </c>
    </row>
    <row r="48" customFormat="false" ht="23.85" hidden="false" customHeight="false" outlineLevel="0" collapsed="false">
      <c r="A48" s="2" t="s">
        <v>142</v>
      </c>
      <c r="B48" s="3" t="s">
        <v>14</v>
      </c>
      <c r="C48" s="2" t="s">
        <v>15</v>
      </c>
      <c r="D48" s="3" t="s">
        <v>16</v>
      </c>
      <c r="E48" s="3" t="s">
        <v>126</v>
      </c>
      <c r="F48" s="3" t="s">
        <v>143</v>
      </c>
      <c r="G48" s="3" t="s">
        <v>95</v>
      </c>
      <c r="H48" s="2" t="s">
        <v>20</v>
      </c>
      <c r="I48" s="2" t="s">
        <v>28</v>
      </c>
      <c r="J48" s="2" t="s">
        <v>34</v>
      </c>
      <c r="K48" s="2" t="s">
        <v>22</v>
      </c>
      <c r="L48" s="2" t="s">
        <v>22</v>
      </c>
      <c r="M48" s="5" t="s">
        <v>29</v>
      </c>
    </row>
    <row r="49" customFormat="false" ht="46.25" hidden="false" customHeight="false" outlineLevel="0" collapsed="false">
      <c r="A49" s="2" t="s">
        <v>144</v>
      </c>
      <c r="B49" s="3" t="s">
        <v>14</v>
      </c>
      <c r="C49" s="2" t="s">
        <v>15</v>
      </c>
      <c r="D49" s="3" t="s">
        <v>16</v>
      </c>
      <c r="E49" s="3" t="s">
        <v>126</v>
      </c>
      <c r="F49" s="3" t="s">
        <v>145</v>
      </c>
      <c r="G49" s="3" t="s">
        <v>95</v>
      </c>
      <c r="H49" s="2" t="s">
        <v>20</v>
      </c>
      <c r="I49" s="2" t="s">
        <v>28</v>
      </c>
      <c r="J49" s="2" t="s">
        <v>21</v>
      </c>
      <c r="K49" s="2" t="s">
        <v>22</v>
      </c>
      <c r="L49" s="2" t="s">
        <v>22</v>
      </c>
      <c r="M49" s="5" t="s">
        <v>29</v>
      </c>
    </row>
    <row r="50" customFormat="false" ht="35.05" hidden="false" customHeight="false" outlineLevel="0" collapsed="false">
      <c r="A50" s="2" t="s">
        <v>146</v>
      </c>
      <c r="B50" s="3" t="s">
        <v>14</v>
      </c>
      <c r="C50" s="2" t="s">
        <v>15</v>
      </c>
      <c r="D50" s="3" t="s">
        <v>16</v>
      </c>
      <c r="E50" s="3" t="s">
        <v>126</v>
      </c>
      <c r="F50" s="3" t="s">
        <v>147</v>
      </c>
      <c r="G50" s="3" t="s">
        <v>148</v>
      </c>
      <c r="H50" s="2" t="s">
        <v>20</v>
      </c>
      <c r="I50" s="2" t="s">
        <v>28</v>
      </c>
      <c r="J50" s="2" t="s">
        <v>28</v>
      </c>
      <c r="K50" s="2" t="s">
        <v>22</v>
      </c>
      <c r="L50" s="2" t="s">
        <v>22</v>
      </c>
      <c r="M50" s="5" t="s">
        <v>29</v>
      </c>
    </row>
    <row r="51" customFormat="false" ht="35.05" hidden="false" customHeight="false" outlineLevel="0" collapsed="false">
      <c r="A51" s="2" t="s">
        <v>149</v>
      </c>
      <c r="B51" s="3" t="s">
        <v>14</v>
      </c>
      <c r="C51" s="2" t="s">
        <v>15</v>
      </c>
      <c r="D51" s="3" t="s">
        <v>16</v>
      </c>
      <c r="E51" s="3" t="s">
        <v>126</v>
      </c>
      <c r="F51" s="3" t="s">
        <v>150</v>
      </c>
      <c r="G51" s="3" t="s">
        <v>136</v>
      </c>
      <c r="H51" s="2" t="s">
        <v>20</v>
      </c>
      <c r="I51" s="2" t="s">
        <v>28</v>
      </c>
      <c r="J51" s="2" t="s">
        <v>21</v>
      </c>
      <c r="K51" s="2" t="s">
        <v>22</v>
      </c>
      <c r="L51" s="2" t="s">
        <v>22</v>
      </c>
      <c r="M51" s="5" t="s">
        <v>29</v>
      </c>
    </row>
    <row r="52" customFormat="false" ht="35.05" hidden="false" customHeight="false" outlineLevel="0" collapsed="false">
      <c r="A52" s="2" t="s">
        <v>151</v>
      </c>
      <c r="B52" s="3" t="s">
        <v>14</v>
      </c>
      <c r="C52" s="2" t="s">
        <v>15</v>
      </c>
      <c r="D52" s="3" t="s">
        <v>16</v>
      </c>
      <c r="E52" s="3" t="s">
        <v>126</v>
      </c>
      <c r="F52" s="3" t="s">
        <v>152</v>
      </c>
      <c r="G52" s="3" t="s">
        <v>136</v>
      </c>
      <c r="H52" s="2" t="s">
        <v>20</v>
      </c>
      <c r="I52" s="2" t="s">
        <v>34</v>
      </c>
      <c r="J52" s="2" t="s">
        <v>34</v>
      </c>
      <c r="K52" s="2" t="s">
        <v>22</v>
      </c>
      <c r="L52" s="2" t="s">
        <v>22</v>
      </c>
      <c r="M52" s="6" t="s">
        <v>35</v>
      </c>
    </row>
    <row r="53" customFormat="false" ht="23.85" hidden="false" customHeight="false" outlineLevel="0" collapsed="false">
      <c r="A53" s="2" t="s">
        <v>153</v>
      </c>
      <c r="B53" s="3" t="s">
        <v>154</v>
      </c>
      <c r="C53" s="2" t="s">
        <v>15</v>
      </c>
      <c r="D53" s="3" t="s">
        <v>16</v>
      </c>
      <c r="E53" s="3" t="s">
        <v>155</v>
      </c>
      <c r="F53" s="3" t="s">
        <v>156</v>
      </c>
      <c r="G53" s="3" t="s">
        <v>27</v>
      </c>
      <c r="H53" s="2" t="s">
        <v>20</v>
      </c>
      <c r="I53" s="2" t="s">
        <v>34</v>
      </c>
      <c r="J53" s="2" t="s">
        <v>21</v>
      </c>
      <c r="K53" s="2" t="s">
        <v>22</v>
      </c>
      <c r="L53" s="2" t="s">
        <v>22</v>
      </c>
      <c r="M53" s="6" t="s">
        <v>35</v>
      </c>
    </row>
    <row r="54" customFormat="false" ht="23.85" hidden="false" customHeight="false" outlineLevel="0" collapsed="false">
      <c r="A54" s="2" t="s">
        <v>157</v>
      </c>
      <c r="B54" s="3" t="s">
        <v>154</v>
      </c>
      <c r="C54" s="2" t="s">
        <v>15</v>
      </c>
      <c r="D54" s="3" t="s">
        <v>16</v>
      </c>
      <c r="E54" s="3" t="s">
        <v>155</v>
      </c>
      <c r="F54" s="3" t="s">
        <v>158</v>
      </c>
      <c r="G54" s="3" t="s">
        <v>76</v>
      </c>
      <c r="H54" s="2" t="s">
        <v>20</v>
      </c>
      <c r="I54" s="2" t="s">
        <v>21</v>
      </c>
      <c r="J54" s="2" t="s">
        <v>21</v>
      </c>
      <c r="K54" s="2" t="s">
        <v>22</v>
      </c>
      <c r="L54" s="2" t="s">
        <v>22</v>
      </c>
      <c r="M54" s="4" t="s">
        <v>23</v>
      </c>
    </row>
    <row r="55" customFormat="false" ht="23.85" hidden="false" customHeight="false" outlineLevel="0" collapsed="false">
      <c r="A55" s="2" t="s">
        <v>159</v>
      </c>
      <c r="B55" s="3" t="s">
        <v>154</v>
      </c>
      <c r="C55" s="2" t="s">
        <v>15</v>
      </c>
      <c r="D55" s="3" t="s">
        <v>16</v>
      </c>
      <c r="E55" s="3" t="s">
        <v>155</v>
      </c>
      <c r="F55" s="3" t="s">
        <v>160</v>
      </c>
      <c r="G55" s="3" t="s">
        <v>136</v>
      </c>
      <c r="H55" s="2" t="s">
        <v>20</v>
      </c>
      <c r="I55" s="2" t="s">
        <v>28</v>
      </c>
      <c r="J55" s="2" t="s">
        <v>28</v>
      </c>
      <c r="K55" s="2" t="s">
        <v>22</v>
      </c>
      <c r="L55" s="2" t="s">
        <v>22</v>
      </c>
      <c r="M55" s="5" t="s">
        <v>29</v>
      </c>
    </row>
    <row r="56" customFormat="false" ht="35.05" hidden="false" customHeight="false" outlineLevel="0" collapsed="false">
      <c r="A56" s="2" t="s">
        <v>161</v>
      </c>
      <c r="B56" s="3" t="s">
        <v>154</v>
      </c>
      <c r="C56" s="2" t="s">
        <v>15</v>
      </c>
      <c r="D56" s="3" t="s">
        <v>16</v>
      </c>
      <c r="E56" s="3" t="s">
        <v>155</v>
      </c>
      <c r="F56" s="3" t="s">
        <v>162</v>
      </c>
      <c r="G56" s="3" t="s">
        <v>163</v>
      </c>
      <c r="H56" s="2" t="s">
        <v>20</v>
      </c>
      <c r="I56" s="2" t="s">
        <v>34</v>
      </c>
      <c r="J56" s="2" t="s">
        <v>34</v>
      </c>
      <c r="K56" s="2" t="s">
        <v>22</v>
      </c>
      <c r="L56" s="2" t="s">
        <v>22</v>
      </c>
      <c r="M56" s="6" t="s">
        <v>35</v>
      </c>
    </row>
    <row r="57" customFormat="false" ht="46.25" hidden="false" customHeight="false" outlineLevel="0" collapsed="false">
      <c r="A57" s="2" t="s">
        <v>164</v>
      </c>
      <c r="B57" s="3" t="s">
        <v>154</v>
      </c>
      <c r="C57" s="2" t="s">
        <v>15</v>
      </c>
      <c r="D57" s="3" t="s">
        <v>16</v>
      </c>
      <c r="E57" s="3" t="s">
        <v>155</v>
      </c>
      <c r="F57" s="3" t="s">
        <v>165</v>
      </c>
      <c r="G57" s="3" t="s">
        <v>166</v>
      </c>
      <c r="H57" s="2" t="s">
        <v>20</v>
      </c>
      <c r="I57" s="2" t="s">
        <v>21</v>
      </c>
      <c r="J57" s="2" t="s">
        <v>34</v>
      </c>
      <c r="K57" s="2" t="s">
        <v>22</v>
      </c>
      <c r="L57" s="2" t="s">
        <v>22</v>
      </c>
      <c r="M57" s="4" t="s">
        <v>23</v>
      </c>
    </row>
    <row r="58" customFormat="false" ht="23.85" hidden="false" customHeight="false" outlineLevel="0" collapsed="false">
      <c r="A58" s="2" t="s">
        <v>167</v>
      </c>
      <c r="B58" s="3" t="s">
        <v>154</v>
      </c>
      <c r="C58" s="2" t="s">
        <v>15</v>
      </c>
      <c r="D58" s="3" t="s">
        <v>16</v>
      </c>
      <c r="E58" s="3" t="s">
        <v>155</v>
      </c>
      <c r="F58" s="3" t="s">
        <v>168</v>
      </c>
      <c r="G58" s="3" t="s">
        <v>166</v>
      </c>
      <c r="H58" s="2" t="s">
        <v>20</v>
      </c>
      <c r="I58" s="2" t="s">
        <v>34</v>
      </c>
      <c r="J58" s="2" t="s">
        <v>21</v>
      </c>
      <c r="K58" s="2" t="s">
        <v>22</v>
      </c>
      <c r="L58" s="2" t="s">
        <v>22</v>
      </c>
      <c r="M58" s="6" t="s">
        <v>35</v>
      </c>
    </row>
    <row r="59" customFormat="false" ht="35.05" hidden="false" customHeight="false" outlineLevel="0" collapsed="false">
      <c r="A59" s="2" t="s">
        <v>169</v>
      </c>
      <c r="B59" s="3" t="s">
        <v>154</v>
      </c>
      <c r="C59" s="2" t="s">
        <v>15</v>
      </c>
      <c r="D59" s="3" t="s">
        <v>16</v>
      </c>
      <c r="E59" s="3" t="s">
        <v>155</v>
      </c>
      <c r="F59" s="3" t="s">
        <v>170</v>
      </c>
      <c r="G59" s="3" t="s">
        <v>63</v>
      </c>
      <c r="H59" s="2" t="s">
        <v>20</v>
      </c>
      <c r="I59" s="2" t="s">
        <v>28</v>
      </c>
      <c r="J59" s="2" t="s">
        <v>21</v>
      </c>
      <c r="K59" s="2" t="s">
        <v>22</v>
      </c>
      <c r="L59" s="2" t="s">
        <v>22</v>
      </c>
      <c r="M59" s="5" t="s">
        <v>29</v>
      </c>
    </row>
    <row r="60" customFormat="false" ht="35.05" hidden="false" customHeight="false" outlineLevel="0" collapsed="false">
      <c r="A60" s="2" t="s">
        <v>171</v>
      </c>
      <c r="B60" s="3" t="s">
        <v>154</v>
      </c>
      <c r="C60" s="2" t="s">
        <v>15</v>
      </c>
      <c r="D60" s="3" t="s">
        <v>16</v>
      </c>
      <c r="E60" s="3" t="s">
        <v>172</v>
      </c>
      <c r="F60" s="3" t="s">
        <v>173</v>
      </c>
      <c r="G60" s="3" t="s">
        <v>63</v>
      </c>
      <c r="H60" s="2" t="s">
        <v>20</v>
      </c>
      <c r="I60" s="2" t="s">
        <v>28</v>
      </c>
      <c r="J60" s="2" t="s">
        <v>21</v>
      </c>
      <c r="K60" s="2" t="s">
        <v>22</v>
      </c>
      <c r="L60" s="2" t="s">
        <v>22</v>
      </c>
      <c r="M60" s="5" t="s">
        <v>29</v>
      </c>
    </row>
    <row r="61" customFormat="false" ht="35.05" hidden="false" customHeight="false" outlineLevel="0" collapsed="false">
      <c r="A61" s="2" t="s">
        <v>174</v>
      </c>
      <c r="B61" s="3" t="s">
        <v>154</v>
      </c>
      <c r="C61" s="2" t="s">
        <v>15</v>
      </c>
      <c r="D61" s="3" t="s">
        <v>16</v>
      </c>
      <c r="E61" s="3" t="s">
        <v>172</v>
      </c>
      <c r="F61" s="3" t="s">
        <v>175</v>
      </c>
      <c r="G61" s="3" t="s">
        <v>176</v>
      </c>
      <c r="H61" s="2" t="s">
        <v>20</v>
      </c>
      <c r="I61" s="2" t="s">
        <v>28</v>
      </c>
      <c r="J61" s="2" t="s">
        <v>28</v>
      </c>
      <c r="K61" s="2" t="s">
        <v>22</v>
      </c>
      <c r="L61" s="2" t="s">
        <v>22</v>
      </c>
      <c r="M61" s="5" t="s">
        <v>29</v>
      </c>
    </row>
    <row r="62" customFormat="false" ht="35.05" hidden="false" customHeight="false" outlineLevel="0" collapsed="false">
      <c r="A62" s="2" t="s">
        <v>177</v>
      </c>
      <c r="B62" s="3" t="s">
        <v>154</v>
      </c>
      <c r="C62" s="2" t="s">
        <v>15</v>
      </c>
      <c r="D62" s="3" t="s">
        <v>16</v>
      </c>
      <c r="E62" s="3" t="s">
        <v>172</v>
      </c>
      <c r="F62" s="3" t="s">
        <v>178</v>
      </c>
      <c r="G62" s="3" t="s">
        <v>166</v>
      </c>
      <c r="H62" s="2" t="s">
        <v>20</v>
      </c>
      <c r="I62" s="2" t="s">
        <v>28</v>
      </c>
      <c r="J62" s="2" t="s">
        <v>34</v>
      </c>
      <c r="K62" s="2" t="s">
        <v>22</v>
      </c>
      <c r="L62" s="2" t="s">
        <v>22</v>
      </c>
      <c r="M62" s="5" t="s">
        <v>29</v>
      </c>
    </row>
    <row r="63" customFormat="false" ht="35.05" hidden="false" customHeight="false" outlineLevel="0" collapsed="false">
      <c r="A63" s="2" t="s">
        <v>179</v>
      </c>
      <c r="B63" s="3" t="s">
        <v>154</v>
      </c>
      <c r="C63" s="2" t="s">
        <v>15</v>
      </c>
      <c r="D63" s="3" t="s">
        <v>16</v>
      </c>
      <c r="E63" s="3" t="s">
        <v>172</v>
      </c>
      <c r="F63" s="3" t="s">
        <v>180</v>
      </c>
      <c r="G63" s="3" t="s">
        <v>176</v>
      </c>
      <c r="H63" s="2" t="s">
        <v>20</v>
      </c>
      <c r="I63" s="2" t="s">
        <v>34</v>
      </c>
      <c r="J63" s="2" t="s">
        <v>28</v>
      </c>
      <c r="K63" s="2" t="s">
        <v>22</v>
      </c>
      <c r="L63" s="2" t="s">
        <v>22</v>
      </c>
      <c r="M63" s="6" t="s">
        <v>35</v>
      </c>
    </row>
    <row r="64" customFormat="false" ht="35.05" hidden="false" customHeight="false" outlineLevel="0" collapsed="false">
      <c r="A64" s="2" t="s">
        <v>181</v>
      </c>
      <c r="B64" s="3" t="s">
        <v>154</v>
      </c>
      <c r="C64" s="2" t="s">
        <v>15</v>
      </c>
      <c r="D64" s="3" t="s">
        <v>16</v>
      </c>
      <c r="E64" s="3" t="s">
        <v>172</v>
      </c>
      <c r="F64" s="3" t="s">
        <v>182</v>
      </c>
      <c r="G64" s="3" t="s">
        <v>63</v>
      </c>
      <c r="H64" s="2" t="s">
        <v>20</v>
      </c>
      <c r="I64" s="2" t="s">
        <v>28</v>
      </c>
      <c r="J64" s="2" t="s">
        <v>34</v>
      </c>
      <c r="K64" s="2" t="s">
        <v>22</v>
      </c>
      <c r="L64" s="2" t="s">
        <v>22</v>
      </c>
      <c r="M64" s="5" t="s">
        <v>29</v>
      </c>
    </row>
    <row r="65" customFormat="false" ht="35.05" hidden="false" customHeight="false" outlineLevel="0" collapsed="false">
      <c r="A65" s="2" t="s">
        <v>183</v>
      </c>
      <c r="B65" s="3" t="s">
        <v>154</v>
      </c>
      <c r="C65" s="2" t="s">
        <v>15</v>
      </c>
      <c r="D65" s="3" t="s">
        <v>16</v>
      </c>
      <c r="E65" s="3" t="s">
        <v>172</v>
      </c>
      <c r="F65" s="3" t="s">
        <v>184</v>
      </c>
      <c r="G65" s="3" t="s">
        <v>176</v>
      </c>
      <c r="H65" s="2" t="s">
        <v>20</v>
      </c>
      <c r="I65" s="2" t="s">
        <v>28</v>
      </c>
      <c r="J65" s="2" t="s">
        <v>28</v>
      </c>
      <c r="K65" s="2" t="s">
        <v>22</v>
      </c>
      <c r="L65" s="2" t="s">
        <v>22</v>
      </c>
      <c r="M65" s="5" t="s">
        <v>29</v>
      </c>
    </row>
    <row r="66" customFormat="false" ht="23.85" hidden="false" customHeight="false" outlineLevel="0" collapsed="false">
      <c r="A66" s="2" t="s">
        <v>185</v>
      </c>
      <c r="B66" s="3" t="s">
        <v>154</v>
      </c>
      <c r="C66" s="2" t="s">
        <v>15</v>
      </c>
      <c r="D66" s="3" t="s">
        <v>16</v>
      </c>
      <c r="E66" s="3" t="s">
        <v>186</v>
      </c>
      <c r="F66" s="3" t="s">
        <v>187</v>
      </c>
      <c r="G66" s="3" t="s">
        <v>99</v>
      </c>
      <c r="H66" s="2" t="s">
        <v>20</v>
      </c>
      <c r="I66" s="2" t="s">
        <v>28</v>
      </c>
      <c r="J66" s="2" t="s">
        <v>21</v>
      </c>
      <c r="K66" s="2" t="s">
        <v>22</v>
      </c>
      <c r="L66" s="2" t="s">
        <v>22</v>
      </c>
      <c r="M66" s="5" t="s">
        <v>29</v>
      </c>
    </row>
    <row r="67" customFormat="false" ht="23.85" hidden="false" customHeight="false" outlineLevel="0" collapsed="false">
      <c r="A67" s="2" t="s">
        <v>188</v>
      </c>
      <c r="B67" s="3" t="s">
        <v>154</v>
      </c>
      <c r="C67" s="2" t="s">
        <v>15</v>
      </c>
      <c r="D67" s="3" t="s">
        <v>16</v>
      </c>
      <c r="E67" s="3" t="s">
        <v>186</v>
      </c>
      <c r="F67" s="3" t="s">
        <v>189</v>
      </c>
      <c r="G67" s="3" t="s">
        <v>99</v>
      </c>
      <c r="H67" s="2" t="s">
        <v>20</v>
      </c>
      <c r="I67" s="2" t="s">
        <v>28</v>
      </c>
      <c r="J67" s="2" t="s">
        <v>21</v>
      </c>
      <c r="K67" s="2" t="s">
        <v>22</v>
      </c>
      <c r="L67" s="2" t="s">
        <v>22</v>
      </c>
      <c r="M67" s="5" t="s">
        <v>29</v>
      </c>
    </row>
    <row r="68" customFormat="false" ht="23.85" hidden="false" customHeight="false" outlineLevel="0" collapsed="false">
      <c r="A68" s="2" t="s">
        <v>190</v>
      </c>
      <c r="B68" s="3" t="s">
        <v>154</v>
      </c>
      <c r="C68" s="2" t="s">
        <v>15</v>
      </c>
      <c r="D68" s="3" t="s">
        <v>16</v>
      </c>
      <c r="E68" s="3" t="s">
        <v>186</v>
      </c>
      <c r="F68" s="3" t="s">
        <v>191</v>
      </c>
      <c r="G68" s="3" t="s">
        <v>99</v>
      </c>
      <c r="H68" s="2" t="s">
        <v>20</v>
      </c>
      <c r="I68" s="2" t="s">
        <v>28</v>
      </c>
      <c r="J68" s="2" t="s">
        <v>21</v>
      </c>
      <c r="K68" s="2" t="s">
        <v>22</v>
      </c>
      <c r="L68" s="2" t="s">
        <v>22</v>
      </c>
      <c r="M68" s="5" t="s">
        <v>29</v>
      </c>
    </row>
    <row r="69" customFormat="false" ht="35.05" hidden="false" customHeight="false" outlineLevel="0" collapsed="false">
      <c r="A69" s="2" t="s">
        <v>192</v>
      </c>
      <c r="B69" s="3" t="s">
        <v>154</v>
      </c>
      <c r="C69" s="2" t="s">
        <v>15</v>
      </c>
      <c r="D69" s="3" t="s">
        <v>16</v>
      </c>
      <c r="E69" s="3" t="s">
        <v>186</v>
      </c>
      <c r="F69" s="3" t="s">
        <v>193</v>
      </c>
      <c r="G69" s="3" t="s">
        <v>99</v>
      </c>
      <c r="H69" s="2" t="s">
        <v>20</v>
      </c>
      <c r="I69" s="2" t="s">
        <v>28</v>
      </c>
      <c r="J69" s="2" t="s">
        <v>21</v>
      </c>
      <c r="K69" s="2" t="s">
        <v>22</v>
      </c>
      <c r="L69" s="2" t="s">
        <v>22</v>
      </c>
      <c r="M69" s="5" t="s">
        <v>29</v>
      </c>
    </row>
    <row r="70" customFormat="false" ht="35.05" hidden="false" customHeight="false" outlineLevel="0" collapsed="false">
      <c r="A70" s="2" t="s">
        <v>194</v>
      </c>
      <c r="B70" s="3" t="s">
        <v>154</v>
      </c>
      <c r="C70" s="2" t="s">
        <v>15</v>
      </c>
      <c r="D70" s="3" t="s">
        <v>16</v>
      </c>
      <c r="E70" s="3" t="s">
        <v>186</v>
      </c>
      <c r="F70" s="3" t="s">
        <v>195</v>
      </c>
      <c r="G70" s="3" t="s">
        <v>99</v>
      </c>
      <c r="H70" s="2" t="s">
        <v>20</v>
      </c>
      <c r="I70" s="2" t="s">
        <v>28</v>
      </c>
      <c r="J70" s="2" t="s">
        <v>21</v>
      </c>
      <c r="K70" s="2" t="s">
        <v>22</v>
      </c>
      <c r="L70" s="2" t="s">
        <v>22</v>
      </c>
      <c r="M70" s="5" t="s">
        <v>29</v>
      </c>
    </row>
    <row r="71" customFormat="false" ht="35.05" hidden="false" customHeight="false" outlineLevel="0" collapsed="false">
      <c r="A71" s="2" t="s">
        <v>196</v>
      </c>
      <c r="B71" s="3" t="s">
        <v>154</v>
      </c>
      <c r="C71" s="2" t="s">
        <v>15</v>
      </c>
      <c r="D71" s="3" t="s">
        <v>16</v>
      </c>
      <c r="E71" s="3" t="s">
        <v>186</v>
      </c>
      <c r="F71" s="3" t="s">
        <v>197</v>
      </c>
      <c r="G71" s="3" t="s">
        <v>198</v>
      </c>
      <c r="H71" s="2" t="s">
        <v>20</v>
      </c>
      <c r="I71" s="2" t="s">
        <v>28</v>
      </c>
      <c r="J71" s="2" t="s">
        <v>21</v>
      </c>
      <c r="K71" s="2" t="s">
        <v>22</v>
      </c>
      <c r="L71" s="2" t="s">
        <v>22</v>
      </c>
      <c r="M71" s="5" t="s">
        <v>29</v>
      </c>
    </row>
    <row r="72" customFormat="false" ht="23.85" hidden="false" customHeight="false" outlineLevel="0" collapsed="false">
      <c r="A72" s="2" t="s">
        <v>199</v>
      </c>
      <c r="B72" s="3" t="s">
        <v>154</v>
      </c>
      <c r="C72" s="2" t="s">
        <v>15</v>
      </c>
      <c r="D72" s="3" t="s">
        <v>16</v>
      </c>
      <c r="E72" s="3" t="s">
        <v>200</v>
      </c>
      <c r="F72" s="3" t="s">
        <v>201</v>
      </c>
      <c r="G72" s="3" t="s">
        <v>99</v>
      </c>
      <c r="H72" s="2" t="s">
        <v>20</v>
      </c>
      <c r="I72" s="2" t="s">
        <v>28</v>
      </c>
      <c r="J72" s="2" t="s">
        <v>21</v>
      </c>
      <c r="K72" s="2" t="s">
        <v>22</v>
      </c>
      <c r="L72" s="2" t="s">
        <v>22</v>
      </c>
      <c r="M72" s="5" t="s">
        <v>29</v>
      </c>
    </row>
    <row r="73" customFormat="false" ht="35.05" hidden="false" customHeight="false" outlineLevel="0" collapsed="false">
      <c r="A73" s="2" t="s">
        <v>202</v>
      </c>
      <c r="B73" s="3" t="s">
        <v>154</v>
      </c>
      <c r="C73" s="2" t="s">
        <v>15</v>
      </c>
      <c r="D73" s="3" t="s">
        <v>16</v>
      </c>
      <c r="E73" s="3" t="s">
        <v>200</v>
      </c>
      <c r="F73" s="3" t="s">
        <v>203</v>
      </c>
      <c r="G73" s="3" t="s">
        <v>99</v>
      </c>
      <c r="H73" s="2" t="s">
        <v>20</v>
      </c>
      <c r="I73" s="2" t="s">
        <v>28</v>
      </c>
      <c r="J73" s="2" t="s">
        <v>34</v>
      </c>
      <c r="K73" s="2" t="s">
        <v>22</v>
      </c>
      <c r="L73" s="2" t="s">
        <v>22</v>
      </c>
      <c r="M73" s="5" t="s">
        <v>29</v>
      </c>
    </row>
    <row r="74" customFormat="false" ht="35.05" hidden="false" customHeight="false" outlineLevel="0" collapsed="false">
      <c r="A74" s="2" t="s">
        <v>204</v>
      </c>
      <c r="B74" s="3" t="s">
        <v>154</v>
      </c>
      <c r="C74" s="2" t="s">
        <v>15</v>
      </c>
      <c r="D74" s="3" t="s">
        <v>16</v>
      </c>
      <c r="E74" s="3" t="s">
        <v>200</v>
      </c>
      <c r="F74" s="3" t="s">
        <v>205</v>
      </c>
      <c r="G74" s="3" t="s">
        <v>99</v>
      </c>
      <c r="H74" s="2" t="s">
        <v>20</v>
      </c>
      <c r="I74" s="2" t="s">
        <v>28</v>
      </c>
      <c r="J74" s="2" t="s">
        <v>34</v>
      </c>
      <c r="K74" s="2" t="s">
        <v>22</v>
      </c>
      <c r="L74" s="2" t="s">
        <v>22</v>
      </c>
      <c r="M74" s="5" t="s">
        <v>29</v>
      </c>
    </row>
    <row r="75" customFormat="false" ht="35.05" hidden="false" customHeight="false" outlineLevel="0" collapsed="false">
      <c r="A75" s="2" t="s">
        <v>206</v>
      </c>
      <c r="B75" s="3" t="s">
        <v>154</v>
      </c>
      <c r="C75" s="2" t="s">
        <v>15</v>
      </c>
      <c r="D75" s="3" t="s">
        <v>16</v>
      </c>
      <c r="E75" s="3" t="s">
        <v>200</v>
      </c>
      <c r="F75" s="3" t="s">
        <v>207</v>
      </c>
      <c r="G75" s="3" t="s">
        <v>99</v>
      </c>
      <c r="H75" s="2" t="s">
        <v>20</v>
      </c>
      <c r="I75" s="2" t="s">
        <v>28</v>
      </c>
      <c r="J75" s="2" t="s">
        <v>34</v>
      </c>
      <c r="K75" s="2" t="s">
        <v>22</v>
      </c>
      <c r="L75" s="2" t="s">
        <v>22</v>
      </c>
      <c r="M75" s="5" t="s">
        <v>29</v>
      </c>
    </row>
    <row r="76" customFormat="false" ht="35.05" hidden="false" customHeight="false" outlineLevel="0" collapsed="false">
      <c r="A76" s="2" t="s">
        <v>208</v>
      </c>
      <c r="B76" s="3" t="s">
        <v>154</v>
      </c>
      <c r="C76" s="2" t="s">
        <v>15</v>
      </c>
      <c r="D76" s="3" t="s">
        <v>16</v>
      </c>
      <c r="E76" s="3" t="s">
        <v>209</v>
      </c>
      <c r="F76" s="3" t="s">
        <v>210</v>
      </c>
      <c r="G76" s="3" t="s">
        <v>211</v>
      </c>
      <c r="H76" s="2" t="s">
        <v>20</v>
      </c>
      <c r="I76" s="2" t="s">
        <v>28</v>
      </c>
      <c r="J76" s="2" t="s">
        <v>28</v>
      </c>
      <c r="K76" s="2" t="s">
        <v>22</v>
      </c>
      <c r="L76" s="2" t="s">
        <v>22</v>
      </c>
      <c r="M76" s="5" t="s">
        <v>29</v>
      </c>
    </row>
    <row r="77" customFormat="false" ht="35.05" hidden="false" customHeight="false" outlineLevel="0" collapsed="false">
      <c r="A77" s="2" t="s">
        <v>212</v>
      </c>
      <c r="B77" s="3" t="s">
        <v>154</v>
      </c>
      <c r="C77" s="2" t="s">
        <v>15</v>
      </c>
      <c r="D77" s="3" t="s">
        <v>16</v>
      </c>
      <c r="E77" s="3" t="s">
        <v>209</v>
      </c>
      <c r="F77" s="3" t="s">
        <v>213</v>
      </c>
      <c r="G77" s="3" t="s">
        <v>214</v>
      </c>
      <c r="H77" s="2" t="s">
        <v>20</v>
      </c>
      <c r="I77" s="2" t="s">
        <v>34</v>
      </c>
      <c r="J77" s="2" t="s">
        <v>28</v>
      </c>
      <c r="K77" s="2" t="s">
        <v>22</v>
      </c>
      <c r="L77" s="2" t="s">
        <v>22</v>
      </c>
      <c r="M77" s="6" t="s">
        <v>35</v>
      </c>
    </row>
    <row r="78" customFormat="false" ht="35.05" hidden="false" customHeight="false" outlineLevel="0" collapsed="false">
      <c r="A78" s="2" t="s">
        <v>215</v>
      </c>
      <c r="B78" s="3" t="s">
        <v>154</v>
      </c>
      <c r="C78" s="2" t="s">
        <v>15</v>
      </c>
      <c r="D78" s="3" t="s">
        <v>16</v>
      </c>
      <c r="E78" s="3" t="s">
        <v>209</v>
      </c>
      <c r="F78" s="3" t="s">
        <v>216</v>
      </c>
      <c r="G78" s="3" t="s">
        <v>217</v>
      </c>
      <c r="H78" s="2" t="s">
        <v>20</v>
      </c>
      <c r="I78" s="2" t="s">
        <v>28</v>
      </c>
      <c r="J78" s="2" t="s">
        <v>28</v>
      </c>
      <c r="K78" s="2" t="s">
        <v>22</v>
      </c>
      <c r="L78" s="2" t="s">
        <v>22</v>
      </c>
      <c r="M78" s="5" t="s">
        <v>29</v>
      </c>
    </row>
    <row r="79" customFormat="false" ht="35.05" hidden="false" customHeight="false" outlineLevel="0" collapsed="false">
      <c r="A79" s="2" t="s">
        <v>218</v>
      </c>
      <c r="B79" s="3" t="s">
        <v>154</v>
      </c>
      <c r="C79" s="2" t="s">
        <v>15</v>
      </c>
      <c r="D79" s="3" t="s">
        <v>16</v>
      </c>
      <c r="E79" s="3" t="s">
        <v>209</v>
      </c>
      <c r="F79" s="3" t="s">
        <v>219</v>
      </c>
      <c r="G79" s="3" t="s">
        <v>217</v>
      </c>
      <c r="H79" s="2" t="s">
        <v>20</v>
      </c>
      <c r="I79" s="2" t="s">
        <v>28</v>
      </c>
      <c r="J79" s="2" t="s">
        <v>28</v>
      </c>
      <c r="K79" s="2" t="s">
        <v>22</v>
      </c>
      <c r="L79" s="2" t="s">
        <v>22</v>
      </c>
      <c r="M79" s="5" t="s">
        <v>29</v>
      </c>
    </row>
    <row r="80" customFormat="false" ht="35.05" hidden="false" customHeight="false" outlineLevel="0" collapsed="false">
      <c r="A80" s="2" t="s">
        <v>220</v>
      </c>
      <c r="B80" s="3" t="s">
        <v>154</v>
      </c>
      <c r="C80" s="2" t="s">
        <v>15</v>
      </c>
      <c r="D80" s="3" t="s">
        <v>16</v>
      </c>
      <c r="E80" s="3" t="s">
        <v>209</v>
      </c>
      <c r="F80" s="3" t="s">
        <v>221</v>
      </c>
      <c r="G80" s="3" t="s">
        <v>217</v>
      </c>
      <c r="H80" s="2" t="s">
        <v>20</v>
      </c>
      <c r="I80" s="2" t="s">
        <v>28</v>
      </c>
      <c r="J80" s="2" t="s">
        <v>28</v>
      </c>
      <c r="K80" s="2" t="s">
        <v>22</v>
      </c>
      <c r="L80" s="2" t="s">
        <v>22</v>
      </c>
      <c r="M80" s="5" t="s">
        <v>29</v>
      </c>
    </row>
    <row r="81" customFormat="false" ht="23.85" hidden="false" customHeight="false" outlineLevel="0" collapsed="false">
      <c r="A81" s="2" t="s">
        <v>222</v>
      </c>
      <c r="B81" s="3" t="s">
        <v>154</v>
      </c>
      <c r="C81" s="2" t="s">
        <v>15</v>
      </c>
      <c r="D81" s="3" t="s">
        <v>16</v>
      </c>
      <c r="E81" s="3" t="s">
        <v>223</v>
      </c>
      <c r="F81" s="3" t="s">
        <v>224</v>
      </c>
      <c r="G81" s="3" t="s">
        <v>217</v>
      </c>
      <c r="H81" s="2" t="s">
        <v>20</v>
      </c>
      <c r="I81" s="2" t="s">
        <v>28</v>
      </c>
      <c r="J81" s="2" t="s">
        <v>28</v>
      </c>
      <c r="K81" s="2" t="s">
        <v>22</v>
      </c>
      <c r="L81" s="2" t="s">
        <v>22</v>
      </c>
      <c r="M81" s="5" t="s">
        <v>29</v>
      </c>
    </row>
    <row r="82" customFormat="false" ht="35.05" hidden="false" customHeight="false" outlineLevel="0" collapsed="false">
      <c r="A82" s="2" t="s">
        <v>225</v>
      </c>
      <c r="B82" s="3" t="s">
        <v>154</v>
      </c>
      <c r="C82" s="2" t="s">
        <v>15</v>
      </c>
      <c r="D82" s="3" t="s">
        <v>16</v>
      </c>
      <c r="E82" s="3" t="s">
        <v>223</v>
      </c>
      <c r="F82" s="3" t="s">
        <v>226</v>
      </c>
      <c r="G82" s="3" t="s">
        <v>141</v>
      </c>
      <c r="H82" s="2" t="s">
        <v>20</v>
      </c>
      <c r="I82" s="2" t="s">
        <v>28</v>
      </c>
      <c r="J82" s="2" t="s">
        <v>34</v>
      </c>
      <c r="K82" s="2" t="s">
        <v>22</v>
      </c>
      <c r="L82" s="2" t="s">
        <v>22</v>
      </c>
      <c r="M82" s="5" t="s">
        <v>29</v>
      </c>
    </row>
    <row r="83" customFormat="false" ht="35.05" hidden="false" customHeight="false" outlineLevel="0" collapsed="false">
      <c r="A83" s="2" t="s">
        <v>227</v>
      </c>
      <c r="B83" s="3" t="s">
        <v>154</v>
      </c>
      <c r="C83" s="2" t="s">
        <v>15</v>
      </c>
      <c r="D83" s="3" t="s">
        <v>16</v>
      </c>
      <c r="E83" s="3" t="s">
        <v>223</v>
      </c>
      <c r="F83" s="3" t="s">
        <v>228</v>
      </c>
      <c r="G83" s="3" t="s">
        <v>141</v>
      </c>
      <c r="H83" s="2" t="s">
        <v>20</v>
      </c>
      <c r="I83" s="2" t="s">
        <v>34</v>
      </c>
      <c r="J83" s="2" t="s">
        <v>34</v>
      </c>
      <c r="K83" s="2" t="s">
        <v>22</v>
      </c>
      <c r="L83" s="2" t="s">
        <v>22</v>
      </c>
      <c r="M83" s="6" t="s">
        <v>35</v>
      </c>
    </row>
    <row r="84" customFormat="false" ht="35.05" hidden="false" customHeight="false" outlineLevel="0" collapsed="false">
      <c r="A84" s="2" t="s">
        <v>229</v>
      </c>
      <c r="B84" s="3" t="s">
        <v>154</v>
      </c>
      <c r="C84" s="2" t="s">
        <v>15</v>
      </c>
      <c r="D84" s="3" t="s">
        <v>16</v>
      </c>
      <c r="E84" s="3" t="s">
        <v>223</v>
      </c>
      <c r="F84" s="3" t="s">
        <v>230</v>
      </c>
      <c r="G84" s="3" t="s">
        <v>166</v>
      </c>
      <c r="H84" s="2" t="s">
        <v>20</v>
      </c>
      <c r="I84" s="2" t="s">
        <v>21</v>
      </c>
      <c r="J84" s="2" t="s">
        <v>34</v>
      </c>
      <c r="K84" s="2" t="s">
        <v>22</v>
      </c>
      <c r="L84" s="2" t="s">
        <v>22</v>
      </c>
      <c r="M84" s="4" t="s">
        <v>23</v>
      </c>
    </row>
    <row r="85" customFormat="false" ht="35.05" hidden="false" customHeight="false" outlineLevel="0" collapsed="false">
      <c r="A85" s="2" t="s">
        <v>231</v>
      </c>
      <c r="B85" s="3" t="s">
        <v>154</v>
      </c>
      <c r="C85" s="2" t="s">
        <v>15</v>
      </c>
      <c r="D85" s="3" t="s">
        <v>16</v>
      </c>
      <c r="E85" s="3" t="s">
        <v>223</v>
      </c>
      <c r="F85" s="3" t="s">
        <v>232</v>
      </c>
      <c r="G85" s="3" t="s">
        <v>166</v>
      </c>
      <c r="H85" s="2" t="s">
        <v>20</v>
      </c>
      <c r="I85" s="2" t="s">
        <v>28</v>
      </c>
      <c r="J85" s="2" t="s">
        <v>34</v>
      </c>
      <c r="K85" s="2" t="s">
        <v>22</v>
      </c>
      <c r="L85" s="2" t="s">
        <v>22</v>
      </c>
      <c r="M85" s="5" t="s">
        <v>29</v>
      </c>
    </row>
    <row r="86" customFormat="false" ht="35.05" hidden="false" customHeight="false" outlineLevel="0" collapsed="false">
      <c r="A86" s="2" t="s">
        <v>233</v>
      </c>
      <c r="B86" s="3" t="s">
        <v>154</v>
      </c>
      <c r="C86" s="2" t="s">
        <v>15</v>
      </c>
      <c r="D86" s="3" t="s">
        <v>16</v>
      </c>
      <c r="E86" s="3" t="s">
        <v>223</v>
      </c>
      <c r="F86" s="3" t="s">
        <v>234</v>
      </c>
      <c r="G86" s="3" t="s">
        <v>235</v>
      </c>
      <c r="H86" s="2" t="s">
        <v>20</v>
      </c>
      <c r="I86" s="2" t="s">
        <v>21</v>
      </c>
      <c r="J86" s="2" t="s">
        <v>21</v>
      </c>
      <c r="K86" s="2" t="s">
        <v>22</v>
      </c>
      <c r="L86" s="2" t="s">
        <v>22</v>
      </c>
      <c r="M86" s="4" t="s">
        <v>23</v>
      </c>
    </row>
    <row r="87" customFormat="false" ht="35.05" hidden="false" customHeight="false" outlineLevel="0" collapsed="false">
      <c r="A87" s="2" t="s">
        <v>236</v>
      </c>
      <c r="B87" s="3" t="s">
        <v>154</v>
      </c>
      <c r="C87" s="2" t="s">
        <v>15</v>
      </c>
      <c r="D87" s="3" t="s">
        <v>16</v>
      </c>
      <c r="E87" s="3" t="s">
        <v>223</v>
      </c>
      <c r="F87" s="3" t="s">
        <v>237</v>
      </c>
      <c r="G87" s="3" t="s">
        <v>141</v>
      </c>
      <c r="H87" s="2" t="s">
        <v>20</v>
      </c>
      <c r="I87" s="2" t="s">
        <v>34</v>
      </c>
      <c r="J87" s="2" t="s">
        <v>34</v>
      </c>
      <c r="K87" s="2" t="s">
        <v>22</v>
      </c>
      <c r="L87" s="2" t="s">
        <v>22</v>
      </c>
      <c r="M87" s="6" t="s">
        <v>35</v>
      </c>
    </row>
    <row r="88" customFormat="false" ht="23.85" hidden="false" customHeight="false" outlineLevel="0" collapsed="false">
      <c r="A88" s="2" t="s">
        <v>238</v>
      </c>
      <c r="B88" s="3" t="s">
        <v>154</v>
      </c>
      <c r="C88" s="2" t="s">
        <v>15</v>
      </c>
      <c r="D88" s="3" t="s">
        <v>16</v>
      </c>
      <c r="E88" s="3" t="s">
        <v>223</v>
      </c>
      <c r="F88" s="3" t="s">
        <v>239</v>
      </c>
      <c r="G88" s="3" t="s">
        <v>166</v>
      </c>
      <c r="H88" s="2" t="s">
        <v>20</v>
      </c>
      <c r="I88" s="2" t="s">
        <v>34</v>
      </c>
      <c r="J88" s="2" t="s">
        <v>28</v>
      </c>
      <c r="K88" s="2" t="s">
        <v>22</v>
      </c>
      <c r="L88" s="2" t="s">
        <v>22</v>
      </c>
      <c r="M88" s="6" t="s">
        <v>35</v>
      </c>
    </row>
    <row r="89" customFormat="false" ht="35.05" hidden="false" customHeight="false" outlineLevel="0" collapsed="false">
      <c r="A89" s="2" t="s">
        <v>240</v>
      </c>
      <c r="B89" s="3" t="s">
        <v>154</v>
      </c>
      <c r="C89" s="2" t="s">
        <v>15</v>
      </c>
      <c r="D89" s="3" t="s">
        <v>16</v>
      </c>
      <c r="E89" s="3" t="s">
        <v>223</v>
      </c>
      <c r="F89" s="3" t="s">
        <v>241</v>
      </c>
      <c r="G89" s="3" t="s">
        <v>166</v>
      </c>
      <c r="H89" s="2" t="s">
        <v>20</v>
      </c>
      <c r="I89" s="2" t="s">
        <v>34</v>
      </c>
      <c r="J89" s="2" t="s">
        <v>28</v>
      </c>
      <c r="K89" s="2" t="s">
        <v>22</v>
      </c>
      <c r="L89" s="2" t="s">
        <v>22</v>
      </c>
      <c r="M89" s="6" t="s">
        <v>35</v>
      </c>
    </row>
    <row r="90" customFormat="false" ht="35.05" hidden="false" customHeight="false" outlineLevel="0" collapsed="false">
      <c r="A90" s="2" t="s">
        <v>242</v>
      </c>
      <c r="B90" s="3" t="s">
        <v>154</v>
      </c>
      <c r="C90" s="2" t="s">
        <v>15</v>
      </c>
      <c r="D90" s="3" t="s">
        <v>16</v>
      </c>
      <c r="E90" s="3" t="s">
        <v>223</v>
      </c>
      <c r="F90" s="3" t="s">
        <v>243</v>
      </c>
      <c r="G90" s="3" t="s">
        <v>244</v>
      </c>
      <c r="H90" s="2" t="s">
        <v>20</v>
      </c>
      <c r="I90" s="2" t="s">
        <v>28</v>
      </c>
      <c r="J90" s="2" t="s">
        <v>28</v>
      </c>
      <c r="K90" s="2" t="s">
        <v>22</v>
      </c>
      <c r="L90" s="2" t="s">
        <v>22</v>
      </c>
      <c r="M90" s="5" t="s">
        <v>29</v>
      </c>
    </row>
    <row r="91" customFormat="false" ht="35.05" hidden="false" customHeight="false" outlineLevel="0" collapsed="false">
      <c r="A91" s="2" t="s">
        <v>245</v>
      </c>
      <c r="B91" s="3" t="s">
        <v>154</v>
      </c>
      <c r="C91" s="2" t="s">
        <v>15</v>
      </c>
      <c r="D91" s="3" t="s">
        <v>16</v>
      </c>
      <c r="E91" s="3" t="s">
        <v>223</v>
      </c>
      <c r="F91" s="3" t="s">
        <v>246</v>
      </c>
      <c r="G91" s="3" t="s">
        <v>141</v>
      </c>
      <c r="H91" s="2" t="s">
        <v>20</v>
      </c>
      <c r="I91" s="2" t="s">
        <v>34</v>
      </c>
      <c r="J91" s="2" t="s">
        <v>28</v>
      </c>
      <c r="K91" s="2" t="s">
        <v>22</v>
      </c>
      <c r="L91" s="2" t="s">
        <v>22</v>
      </c>
      <c r="M91" s="6" t="s">
        <v>35</v>
      </c>
    </row>
    <row r="92" customFormat="false" ht="23.85" hidden="false" customHeight="false" outlineLevel="0" collapsed="false">
      <c r="A92" s="2" t="s">
        <v>247</v>
      </c>
      <c r="B92" s="3" t="s">
        <v>154</v>
      </c>
      <c r="C92" s="2" t="s">
        <v>15</v>
      </c>
      <c r="D92" s="3" t="s">
        <v>16</v>
      </c>
      <c r="E92" s="3" t="s">
        <v>223</v>
      </c>
      <c r="F92" s="3" t="s">
        <v>248</v>
      </c>
      <c r="G92" s="3" t="s">
        <v>76</v>
      </c>
      <c r="H92" s="2" t="s">
        <v>20</v>
      </c>
      <c r="I92" s="2" t="s">
        <v>28</v>
      </c>
      <c r="J92" s="2" t="s">
        <v>34</v>
      </c>
      <c r="K92" s="2" t="s">
        <v>22</v>
      </c>
      <c r="L92" s="2" t="s">
        <v>22</v>
      </c>
      <c r="M92" s="5" t="s">
        <v>29</v>
      </c>
    </row>
    <row r="93" customFormat="false" ht="35.05" hidden="false" customHeight="false" outlineLevel="0" collapsed="false">
      <c r="A93" s="2" t="s">
        <v>249</v>
      </c>
      <c r="B93" s="3" t="s">
        <v>154</v>
      </c>
      <c r="C93" s="2" t="s">
        <v>15</v>
      </c>
      <c r="D93" s="3" t="s">
        <v>16</v>
      </c>
      <c r="E93" s="3" t="s">
        <v>223</v>
      </c>
      <c r="F93" s="3" t="s">
        <v>250</v>
      </c>
      <c r="G93" s="3" t="s">
        <v>211</v>
      </c>
      <c r="H93" s="2" t="s">
        <v>20</v>
      </c>
      <c r="I93" s="2" t="s">
        <v>28</v>
      </c>
      <c r="J93" s="2" t="s">
        <v>34</v>
      </c>
      <c r="K93" s="2" t="s">
        <v>22</v>
      </c>
      <c r="L93" s="2" t="s">
        <v>22</v>
      </c>
      <c r="M93" s="5" t="s">
        <v>29</v>
      </c>
    </row>
    <row r="94" customFormat="false" ht="35.05" hidden="false" customHeight="false" outlineLevel="0" collapsed="false">
      <c r="A94" s="2" t="s">
        <v>251</v>
      </c>
      <c r="B94" s="3" t="s">
        <v>154</v>
      </c>
      <c r="C94" s="2" t="s">
        <v>15</v>
      </c>
      <c r="D94" s="3" t="s">
        <v>16</v>
      </c>
      <c r="E94" s="3" t="s">
        <v>252</v>
      </c>
      <c r="F94" s="3" t="s">
        <v>253</v>
      </c>
      <c r="G94" s="3" t="s">
        <v>244</v>
      </c>
      <c r="H94" s="2" t="s">
        <v>20</v>
      </c>
      <c r="I94" s="2" t="s">
        <v>28</v>
      </c>
      <c r="J94" s="2" t="s">
        <v>28</v>
      </c>
      <c r="K94" s="2" t="s">
        <v>22</v>
      </c>
      <c r="L94" s="2" t="s">
        <v>22</v>
      </c>
      <c r="M94" s="5" t="s">
        <v>29</v>
      </c>
    </row>
    <row r="95" customFormat="false" ht="35.05" hidden="false" customHeight="false" outlineLevel="0" collapsed="false">
      <c r="A95" s="2" t="s">
        <v>254</v>
      </c>
      <c r="B95" s="3" t="s">
        <v>154</v>
      </c>
      <c r="C95" s="2" t="s">
        <v>15</v>
      </c>
      <c r="D95" s="3" t="s">
        <v>16</v>
      </c>
      <c r="E95" s="3" t="s">
        <v>255</v>
      </c>
      <c r="F95" s="3" t="s">
        <v>256</v>
      </c>
      <c r="G95" s="3" t="s">
        <v>257</v>
      </c>
      <c r="H95" s="2" t="s">
        <v>20</v>
      </c>
      <c r="I95" s="2" t="s">
        <v>28</v>
      </c>
      <c r="J95" s="2" t="s">
        <v>28</v>
      </c>
      <c r="K95" s="2" t="s">
        <v>22</v>
      </c>
      <c r="L95" s="2" t="s">
        <v>22</v>
      </c>
      <c r="M95" s="5" t="s">
        <v>29</v>
      </c>
    </row>
    <row r="96" customFormat="false" ht="23.85" hidden="false" customHeight="false" outlineLevel="0" collapsed="false">
      <c r="A96" s="2" t="s">
        <v>258</v>
      </c>
      <c r="B96" s="3" t="s">
        <v>154</v>
      </c>
      <c r="C96" s="2" t="s">
        <v>15</v>
      </c>
      <c r="D96" s="3" t="s">
        <v>16</v>
      </c>
      <c r="E96" s="3" t="s">
        <v>255</v>
      </c>
      <c r="F96" s="3" t="s">
        <v>259</v>
      </c>
      <c r="G96" s="3" t="s">
        <v>63</v>
      </c>
      <c r="H96" s="2" t="s">
        <v>20</v>
      </c>
      <c r="I96" s="2" t="s">
        <v>28</v>
      </c>
      <c r="J96" s="2" t="s">
        <v>21</v>
      </c>
      <c r="K96" s="2" t="s">
        <v>22</v>
      </c>
      <c r="L96" s="2" t="s">
        <v>22</v>
      </c>
      <c r="M96" s="5" t="s">
        <v>29</v>
      </c>
    </row>
    <row r="97" customFormat="false" ht="23.85" hidden="false" customHeight="false" outlineLevel="0" collapsed="false">
      <c r="A97" s="2" t="s">
        <v>260</v>
      </c>
      <c r="B97" s="3" t="s">
        <v>154</v>
      </c>
      <c r="C97" s="2" t="s">
        <v>15</v>
      </c>
      <c r="D97" s="3" t="s">
        <v>16</v>
      </c>
      <c r="E97" s="3" t="s">
        <v>255</v>
      </c>
      <c r="F97" s="3" t="s">
        <v>261</v>
      </c>
      <c r="G97" s="3" t="s">
        <v>136</v>
      </c>
      <c r="H97" s="2" t="s">
        <v>20</v>
      </c>
      <c r="I97" s="2" t="s">
        <v>34</v>
      </c>
      <c r="J97" s="2" t="s">
        <v>34</v>
      </c>
      <c r="K97" s="2" t="s">
        <v>22</v>
      </c>
      <c r="L97" s="2" t="s">
        <v>22</v>
      </c>
      <c r="M97" s="6" t="s">
        <v>35</v>
      </c>
    </row>
    <row r="98" customFormat="false" ht="35.05" hidden="false" customHeight="false" outlineLevel="0" collapsed="false">
      <c r="A98" s="2" t="s">
        <v>262</v>
      </c>
      <c r="B98" s="3" t="s">
        <v>154</v>
      </c>
      <c r="C98" s="2" t="s">
        <v>15</v>
      </c>
      <c r="D98" s="3" t="s">
        <v>16</v>
      </c>
      <c r="E98" s="3" t="s">
        <v>255</v>
      </c>
      <c r="F98" s="3" t="s">
        <v>263</v>
      </c>
      <c r="G98" s="3" t="s">
        <v>148</v>
      </c>
      <c r="H98" s="2" t="s">
        <v>20</v>
      </c>
      <c r="I98" s="2" t="s">
        <v>28</v>
      </c>
      <c r="J98" s="2" t="s">
        <v>21</v>
      </c>
      <c r="K98" s="2" t="s">
        <v>22</v>
      </c>
      <c r="L98" s="2" t="s">
        <v>22</v>
      </c>
      <c r="M98" s="5" t="s">
        <v>29</v>
      </c>
    </row>
    <row r="99" customFormat="false" ht="35.05" hidden="false" customHeight="false" outlineLevel="0" collapsed="false">
      <c r="A99" s="2" t="s">
        <v>264</v>
      </c>
      <c r="B99" s="3" t="s">
        <v>154</v>
      </c>
      <c r="C99" s="2" t="s">
        <v>15</v>
      </c>
      <c r="D99" s="3" t="s">
        <v>16</v>
      </c>
      <c r="E99" s="3" t="s">
        <v>255</v>
      </c>
      <c r="F99" s="3" t="s">
        <v>265</v>
      </c>
      <c r="G99" s="3" t="s">
        <v>148</v>
      </c>
      <c r="H99" s="2" t="s">
        <v>20</v>
      </c>
      <c r="I99" s="2" t="s">
        <v>28</v>
      </c>
      <c r="J99" s="2" t="s">
        <v>28</v>
      </c>
      <c r="K99" s="2" t="s">
        <v>22</v>
      </c>
      <c r="L99" s="2" t="s">
        <v>22</v>
      </c>
      <c r="M99" s="5" t="s">
        <v>29</v>
      </c>
    </row>
    <row r="100" customFormat="false" ht="35.05" hidden="false" customHeight="false" outlineLevel="0" collapsed="false">
      <c r="A100" s="2" t="s">
        <v>266</v>
      </c>
      <c r="B100" s="3" t="s">
        <v>154</v>
      </c>
      <c r="C100" s="2" t="s">
        <v>15</v>
      </c>
      <c r="D100" s="3" t="s">
        <v>16</v>
      </c>
      <c r="E100" s="3" t="s">
        <v>255</v>
      </c>
      <c r="F100" s="3" t="s">
        <v>267</v>
      </c>
      <c r="G100" s="3" t="s">
        <v>95</v>
      </c>
      <c r="H100" s="2" t="s">
        <v>20</v>
      </c>
      <c r="I100" s="2" t="s">
        <v>28</v>
      </c>
      <c r="J100" s="2" t="s">
        <v>28</v>
      </c>
      <c r="K100" s="2" t="s">
        <v>22</v>
      </c>
      <c r="L100" s="2" t="s">
        <v>22</v>
      </c>
      <c r="M100" s="5" t="s">
        <v>29</v>
      </c>
    </row>
    <row r="101" customFormat="false" ht="35.05" hidden="false" customHeight="false" outlineLevel="0" collapsed="false">
      <c r="A101" s="2" t="s">
        <v>268</v>
      </c>
      <c r="B101" s="3" t="s">
        <v>154</v>
      </c>
      <c r="C101" s="2" t="s">
        <v>15</v>
      </c>
      <c r="D101" s="3" t="s">
        <v>16</v>
      </c>
      <c r="E101" s="3" t="s">
        <v>255</v>
      </c>
      <c r="F101" s="3" t="s">
        <v>269</v>
      </c>
      <c r="G101" s="3" t="s">
        <v>95</v>
      </c>
      <c r="H101" s="2" t="s">
        <v>20</v>
      </c>
      <c r="I101" s="2" t="s">
        <v>28</v>
      </c>
      <c r="J101" s="2" t="s">
        <v>21</v>
      </c>
      <c r="K101" s="2" t="s">
        <v>22</v>
      </c>
      <c r="L101" s="2" t="s">
        <v>22</v>
      </c>
      <c r="M101" s="5" t="s">
        <v>29</v>
      </c>
    </row>
    <row r="102" customFormat="false" ht="35.05" hidden="false" customHeight="false" outlineLevel="0" collapsed="false">
      <c r="A102" s="2" t="s">
        <v>270</v>
      </c>
      <c r="B102" s="3" t="s">
        <v>154</v>
      </c>
      <c r="C102" s="2" t="s">
        <v>15</v>
      </c>
      <c r="D102" s="3" t="s">
        <v>16</v>
      </c>
      <c r="E102" s="3" t="s">
        <v>255</v>
      </c>
      <c r="F102" s="3" t="s">
        <v>271</v>
      </c>
      <c r="G102" s="3" t="s">
        <v>136</v>
      </c>
      <c r="H102" s="2" t="s">
        <v>20</v>
      </c>
      <c r="I102" s="2" t="s">
        <v>28</v>
      </c>
      <c r="J102" s="2" t="s">
        <v>28</v>
      </c>
      <c r="K102" s="2" t="s">
        <v>22</v>
      </c>
      <c r="L102" s="2" t="s">
        <v>22</v>
      </c>
      <c r="M102" s="5" t="s">
        <v>29</v>
      </c>
    </row>
    <row r="103" customFormat="false" ht="35.05" hidden="false" customHeight="false" outlineLevel="0" collapsed="false">
      <c r="A103" s="2" t="s">
        <v>272</v>
      </c>
      <c r="B103" s="3" t="s">
        <v>154</v>
      </c>
      <c r="C103" s="2" t="s">
        <v>15</v>
      </c>
      <c r="D103" s="3" t="s">
        <v>16</v>
      </c>
      <c r="E103" s="3" t="s">
        <v>255</v>
      </c>
      <c r="F103" s="3" t="s">
        <v>273</v>
      </c>
      <c r="G103" s="3" t="s">
        <v>136</v>
      </c>
      <c r="H103" s="2" t="s">
        <v>20</v>
      </c>
      <c r="I103" s="2" t="s">
        <v>28</v>
      </c>
      <c r="J103" s="2" t="s">
        <v>28</v>
      </c>
      <c r="K103" s="2" t="s">
        <v>22</v>
      </c>
      <c r="L103" s="2" t="s">
        <v>22</v>
      </c>
      <c r="M103" s="5" t="s">
        <v>29</v>
      </c>
    </row>
    <row r="104" customFormat="false" ht="35.05" hidden="false" customHeight="false" outlineLevel="0" collapsed="false">
      <c r="A104" s="2" t="s">
        <v>274</v>
      </c>
      <c r="B104" s="3" t="s">
        <v>154</v>
      </c>
      <c r="C104" s="2" t="s">
        <v>15</v>
      </c>
      <c r="D104" s="3" t="s">
        <v>16</v>
      </c>
      <c r="E104" s="3" t="s">
        <v>275</v>
      </c>
      <c r="F104" s="3" t="s">
        <v>276</v>
      </c>
      <c r="G104" s="3" t="s">
        <v>277</v>
      </c>
      <c r="H104" s="2" t="s">
        <v>20</v>
      </c>
      <c r="I104" s="2" t="s">
        <v>28</v>
      </c>
      <c r="J104" s="2" t="s">
        <v>21</v>
      </c>
      <c r="K104" s="2" t="s">
        <v>22</v>
      </c>
      <c r="L104" s="2" t="s">
        <v>22</v>
      </c>
      <c r="M104" s="5" t="s">
        <v>29</v>
      </c>
    </row>
    <row r="105" customFormat="false" ht="35.05" hidden="false" customHeight="false" outlineLevel="0" collapsed="false">
      <c r="A105" s="2" t="s">
        <v>278</v>
      </c>
      <c r="B105" s="3" t="s">
        <v>154</v>
      </c>
      <c r="C105" s="2" t="s">
        <v>15</v>
      </c>
      <c r="D105" s="3" t="s">
        <v>16</v>
      </c>
      <c r="E105" s="3" t="s">
        <v>275</v>
      </c>
      <c r="F105" s="3" t="s">
        <v>279</v>
      </c>
      <c r="G105" s="3" t="s">
        <v>63</v>
      </c>
      <c r="H105" s="2" t="s">
        <v>20</v>
      </c>
      <c r="I105" s="2" t="s">
        <v>28</v>
      </c>
      <c r="J105" s="2" t="s">
        <v>21</v>
      </c>
      <c r="K105" s="2" t="s">
        <v>22</v>
      </c>
      <c r="L105" s="2" t="s">
        <v>22</v>
      </c>
      <c r="M105" s="5" t="s">
        <v>29</v>
      </c>
    </row>
    <row r="106" customFormat="false" ht="35.05" hidden="false" customHeight="false" outlineLevel="0" collapsed="false">
      <c r="A106" s="2" t="s">
        <v>280</v>
      </c>
      <c r="B106" s="3" t="s">
        <v>154</v>
      </c>
      <c r="C106" s="2" t="s">
        <v>15</v>
      </c>
      <c r="D106" s="3" t="s">
        <v>16</v>
      </c>
      <c r="E106" s="3" t="s">
        <v>275</v>
      </c>
      <c r="F106" s="3" t="s">
        <v>281</v>
      </c>
      <c r="G106" s="3" t="s">
        <v>217</v>
      </c>
      <c r="H106" s="2" t="s">
        <v>20</v>
      </c>
      <c r="I106" s="2" t="s">
        <v>28</v>
      </c>
      <c r="J106" s="2" t="s">
        <v>34</v>
      </c>
      <c r="K106" s="2" t="s">
        <v>22</v>
      </c>
      <c r="L106" s="2" t="s">
        <v>22</v>
      </c>
      <c r="M106" s="5" t="s">
        <v>29</v>
      </c>
    </row>
    <row r="107" customFormat="false" ht="35.05" hidden="false" customHeight="false" outlineLevel="0" collapsed="false">
      <c r="A107" s="2" t="s">
        <v>282</v>
      </c>
      <c r="B107" s="3" t="s">
        <v>154</v>
      </c>
      <c r="C107" s="2" t="s">
        <v>15</v>
      </c>
      <c r="D107" s="3" t="s">
        <v>16</v>
      </c>
      <c r="E107" s="3" t="s">
        <v>275</v>
      </c>
      <c r="F107" s="3" t="s">
        <v>283</v>
      </c>
      <c r="G107" s="3" t="s">
        <v>148</v>
      </c>
      <c r="H107" s="2" t="s">
        <v>20</v>
      </c>
      <c r="I107" s="2" t="s">
        <v>28</v>
      </c>
      <c r="J107" s="2" t="s">
        <v>21</v>
      </c>
      <c r="K107" s="2" t="s">
        <v>22</v>
      </c>
      <c r="L107" s="2" t="s">
        <v>22</v>
      </c>
      <c r="M107" s="5" t="s">
        <v>29</v>
      </c>
    </row>
    <row r="108" customFormat="false" ht="35.05" hidden="false" customHeight="false" outlineLevel="0" collapsed="false">
      <c r="A108" s="2" t="s">
        <v>284</v>
      </c>
      <c r="B108" s="3" t="s">
        <v>285</v>
      </c>
      <c r="C108" s="2" t="s">
        <v>15</v>
      </c>
      <c r="D108" s="3" t="s">
        <v>286</v>
      </c>
      <c r="E108" s="3" t="s">
        <v>287</v>
      </c>
      <c r="F108" s="3" t="s">
        <v>288</v>
      </c>
      <c r="G108" s="3" t="s">
        <v>289</v>
      </c>
      <c r="H108" s="2" t="s">
        <v>20</v>
      </c>
      <c r="I108" s="2" t="s">
        <v>28</v>
      </c>
      <c r="J108" s="2" t="s">
        <v>28</v>
      </c>
      <c r="K108" s="2" t="s">
        <v>22</v>
      </c>
      <c r="L108" s="2" t="s">
        <v>22</v>
      </c>
      <c r="M108" s="5" t="s">
        <v>29</v>
      </c>
    </row>
    <row r="109" customFormat="false" ht="35.05" hidden="false" customHeight="false" outlineLevel="0" collapsed="false">
      <c r="A109" s="2" t="s">
        <v>290</v>
      </c>
      <c r="B109" s="3" t="s">
        <v>285</v>
      </c>
      <c r="C109" s="2" t="s">
        <v>15</v>
      </c>
      <c r="D109" s="3" t="s">
        <v>286</v>
      </c>
      <c r="E109" s="3" t="s">
        <v>287</v>
      </c>
      <c r="F109" s="3" t="s">
        <v>291</v>
      </c>
      <c r="G109" s="3" t="s">
        <v>292</v>
      </c>
      <c r="H109" s="2" t="s">
        <v>20</v>
      </c>
      <c r="I109" s="2" t="s">
        <v>28</v>
      </c>
      <c r="J109" s="2" t="s">
        <v>34</v>
      </c>
      <c r="K109" s="2" t="s">
        <v>22</v>
      </c>
      <c r="L109" s="2" t="s">
        <v>22</v>
      </c>
      <c r="M109" s="5" t="s">
        <v>29</v>
      </c>
    </row>
    <row r="110" customFormat="false" ht="23.85" hidden="false" customHeight="false" outlineLevel="0" collapsed="false">
      <c r="A110" s="2" t="s">
        <v>293</v>
      </c>
      <c r="B110" s="3" t="s">
        <v>285</v>
      </c>
      <c r="C110" s="2" t="s">
        <v>15</v>
      </c>
      <c r="D110" s="3" t="s">
        <v>286</v>
      </c>
      <c r="E110" s="3" t="s">
        <v>287</v>
      </c>
      <c r="F110" s="3" t="s">
        <v>294</v>
      </c>
      <c r="G110" s="3" t="s">
        <v>295</v>
      </c>
      <c r="H110" s="2" t="s">
        <v>20</v>
      </c>
      <c r="I110" s="2" t="s">
        <v>28</v>
      </c>
      <c r="J110" s="2" t="s">
        <v>28</v>
      </c>
      <c r="K110" s="2" t="s">
        <v>22</v>
      </c>
      <c r="L110" s="2" t="s">
        <v>22</v>
      </c>
      <c r="M110" s="5" t="s">
        <v>29</v>
      </c>
    </row>
    <row r="111" customFormat="false" ht="35.05" hidden="false" customHeight="false" outlineLevel="0" collapsed="false">
      <c r="A111" s="2" t="s">
        <v>296</v>
      </c>
      <c r="B111" s="3" t="s">
        <v>285</v>
      </c>
      <c r="C111" s="2" t="s">
        <v>15</v>
      </c>
      <c r="D111" s="3" t="s">
        <v>286</v>
      </c>
      <c r="E111" s="3" t="s">
        <v>287</v>
      </c>
      <c r="F111" s="3" t="s">
        <v>297</v>
      </c>
      <c r="G111" s="3" t="s">
        <v>298</v>
      </c>
      <c r="H111" s="2" t="s">
        <v>20</v>
      </c>
      <c r="I111" s="2" t="s">
        <v>28</v>
      </c>
      <c r="J111" s="2" t="s">
        <v>34</v>
      </c>
      <c r="K111" s="2" t="s">
        <v>22</v>
      </c>
      <c r="L111" s="2" t="s">
        <v>22</v>
      </c>
      <c r="M111" s="5" t="s">
        <v>29</v>
      </c>
    </row>
    <row r="112" customFormat="false" ht="35.05" hidden="false" customHeight="false" outlineLevel="0" collapsed="false">
      <c r="A112" s="2" t="s">
        <v>299</v>
      </c>
      <c r="B112" s="3" t="s">
        <v>285</v>
      </c>
      <c r="C112" s="2" t="s">
        <v>15</v>
      </c>
      <c r="D112" s="3" t="s">
        <v>286</v>
      </c>
      <c r="E112" s="3" t="s">
        <v>287</v>
      </c>
      <c r="F112" s="3" t="s">
        <v>300</v>
      </c>
      <c r="G112" s="3" t="s">
        <v>301</v>
      </c>
      <c r="H112" s="2" t="s">
        <v>20</v>
      </c>
      <c r="I112" s="2" t="s">
        <v>28</v>
      </c>
      <c r="J112" s="2" t="s">
        <v>28</v>
      </c>
      <c r="K112" s="2" t="s">
        <v>22</v>
      </c>
      <c r="L112" s="2" t="s">
        <v>22</v>
      </c>
      <c r="M112" s="5" t="s">
        <v>29</v>
      </c>
    </row>
    <row r="113" customFormat="false" ht="35.05" hidden="false" customHeight="false" outlineLevel="0" collapsed="false">
      <c r="A113" s="2" t="s">
        <v>302</v>
      </c>
      <c r="B113" s="3" t="s">
        <v>285</v>
      </c>
      <c r="C113" s="2" t="s">
        <v>15</v>
      </c>
      <c r="D113" s="3" t="s">
        <v>286</v>
      </c>
      <c r="E113" s="3" t="s">
        <v>287</v>
      </c>
      <c r="F113" s="3" t="s">
        <v>303</v>
      </c>
      <c r="G113" s="3" t="s">
        <v>304</v>
      </c>
      <c r="H113" s="2" t="s">
        <v>20</v>
      </c>
      <c r="I113" s="2" t="s">
        <v>34</v>
      </c>
      <c r="J113" s="2" t="s">
        <v>34</v>
      </c>
      <c r="K113" s="2" t="s">
        <v>22</v>
      </c>
      <c r="L113" s="2" t="s">
        <v>22</v>
      </c>
      <c r="M113" s="5" t="s">
        <v>29</v>
      </c>
    </row>
    <row r="114" customFormat="false" ht="35.05" hidden="false" customHeight="false" outlineLevel="0" collapsed="false">
      <c r="A114" s="2" t="s">
        <v>305</v>
      </c>
      <c r="B114" s="3" t="s">
        <v>285</v>
      </c>
      <c r="C114" s="2" t="s">
        <v>15</v>
      </c>
      <c r="D114" s="3" t="s">
        <v>286</v>
      </c>
      <c r="E114" s="3" t="s">
        <v>287</v>
      </c>
      <c r="F114" s="3" t="s">
        <v>306</v>
      </c>
      <c r="G114" s="3" t="s">
        <v>292</v>
      </c>
      <c r="H114" s="2" t="s">
        <v>20</v>
      </c>
      <c r="I114" s="2" t="s">
        <v>28</v>
      </c>
      <c r="J114" s="2" t="s">
        <v>34</v>
      </c>
      <c r="K114" s="2" t="s">
        <v>22</v>
      </c>
      <c r="L114" s="2" t="s">
        <v>22</v>
      </c>
      <c r="M114" s="5" t="s">
        <v>29</v>
      </c>
    </row>
    <row r="115" customFormat="false" ht="35.05" hidden="false" customHeight="false" outlineLevel="0" collapsed="false">
      <c r="A115" s="2" t="s">
        <v>307</v>
      </c>
      <c r="B115" s="3" t="s">
        <v>285</v>
      </c>
      <c r="C115" s="2" t="s">
        <v>15</v>
      </c>
      <c r="D115" s="3" t="s">
        <v>286</v>
      </c>
      <c r="E115" s="3" t="s">
        <v>287</v>
      </c>
      <c r="F115" s="3" t="s">
        <v>308</v>
      </c>
      <c r="G115" s="3" t="s">
        <v>309</v>
      </c>
      <c r="H115" s="2" t="s">
        <v>20</v>
      </c>
      <c r="I115" s="2" t="s">
        <v>28</v>
      </c>
      <c r="J115" s="2" t="s">
        <v>34</v>
      </c>
      <c r="K115" s="2" t="s">
        <v>22</v>
      </c>
      <c r="L115" s="2" t="s">
        <v>22</v>
      </c>
      <c r="M115" s="5" t="s">
        <v>29</v>
      </c>
    </row>
    <row r="116" customFormat="false" ht="35.05" hidden="false" customHeight="false" outlineLevel="0" collapsed="false">
      <c r="A116" s="2" t="s">
        <v>310</v>
      </c>
      <c r="B116" s="3" t="s">
        <v>311</v>
      </c>
      <c r="C116" s="2" t="s">
        <v>15</v>
      </c>
      <c r="D116" s="3" t="s">
        <v>312</v>
      </c>
      <c r="E116" s="3" t="s">
        <v>313</v>
      </c>
      <c r="F116" s="3" t="s">
        <v>314</v>
      </c>
      <c r="G116" s="3" t="s">
        <v>315</v>
      </c>
      <c r="H116" s="2" t="s">
        <v>20</v>
      </c>
      <c r="I116" s="2" t="s">
        <v>28</v>
      </c>
      <c r="J116" s="2" t="s">
        <v>21</v>
      </c>
      <c r="K116" s="2" t="s">
        <v>22</v>
      </c>
      <c r="L116" s="2" t="s">
        <v>22</v>
      </c>
      <c r="M116" s="5" t="s">
        <v>29</v>
      </c>
    </row>
    <row r="117" customFormat="false" ht="35.05" hidden="false" customHeight="false" outlineLevel="0" collapsed="false">
      <c r="A117" s="2" t="s">
        <v>316</v>
      </c>
      <c r="B117" s="3" t="s">
        <v>311</v>
      </c>
      <c r="C117" s="2" t="s">
        <v>15</v>
      </c>
      <c r="D117" s="3" t="s">
        <v>312</v>
      </c>
      <c r="E117" s="3" t="s">
        <v>313</v>
      </c>
      <c r="F117" s="3" t="s">
        <v>317</v>
      </c>
      <c r="G117" s="3" t="s">
        <v>315</v>
      </c>
      <c r="H117" s="2" t="s">
        <v>20</v>
      </c>
      <c r="I117" s="2" t="s">
        <v>28</v>
      </c>
      <c r="J117" s="2" t="s">
        <v>28</v>
      </c>
      <c r="K117" s="2" t="s">
        <v>22</v>
      </c>
      <c r="L117" s="2" t="s">
        <v>22</v>
      </c>
      <c r="M117" s="5" t="s">
        <v>29</v>
      </c>
    </row>
    <row r="118" customFormat="false" ht="23.85" hidden="false" customHeight="false" outlineLevel="0" collapsed="false">
      <c r="A118" s="2" t="s">
        <v>318</v>
      </c>
      <c r="B118" s="3" t="s">
        <v>311</v>
      </c>
      <c r="C118" s="2" t="s">
        <v>15</v>
      </c>
      <c r="D118" s="3" t="s">
        <v>312</v>
      </c>
      <c r="E118" s="3" t="s">
        <v>313</v>
      </c>
      <c r="F118" s="3" t="s">
        <v>319</v>
      </c>
      <c r="G118" s="3" t="s">
        <v>315</v>
      </c>
      <c r="H118" s="2" t="s">
        <v>20</v>
      </c>
      <c r="I118" s="2" t="s">
        <v>28</v>
      </c>
      <c r="J118" s="2" t="s">
        <v>28</v>
      </c>
      <c r="K118" s="2" t="s">
        <v>22</v>
      </c>
      <c r="L118" s="2" t="s">
        <v>22</v>
      </c>
      <c r="M118" s="5" t="s">
        <v>29</v>
      </c>
    </row>
    <row r="119" customFormat="false" ht="35.05" hidden="false" customHeight="false" outlineLevel="0" collapsed="false">
      <c r="A119" s="2" t="s">
        <v>320</v>
      </c>
      <c r="B119" s="3" t="s">
        <v>311</v>
      </c>
      <c r="C119" s="2" t="s">
        <v>15</v>
      </c>
      <c r="D119" s="3" t="s">
        <v>312</v>
      </c>
      <c r="E119" s="3" t="s">
        <v>313</v>
      </c>
      <c r="F119" s="3" t="s">
        <v>321</v>
      </c>
      <c r="G119" s="3" t="s">
        <v>322</v>
      </c>
      <c r="H119" s="2" t="s">
        <v>20</v>
      </c>
      <c r="I119" s="2" t="s">
        <v>28</v>
      </c>
      <c r="J119" s="2" t="s">
        <v>28</v>
      </c>
      <c r="K119" s="2" t="s">
        <v>22</v>
      </c>
      <c r="L119" s="2" t="s">
        <v>22</v>
      </c>
      <c r="M119" s="5" t="s">
        <v>29</v>
      </c>
    </row>
    <row r="120" customFormat="false" ht="35.05" hidden="false" customHeight="false" outlineLevel="0" collapsed="false">
      <c r="A120" s="2" t="s">
        <v>323</v>
      </c>
      <c r="B120" s="3" t="s">
        <v>311</v>
      </c>
      <c r="C120" s="2" t="s">
        <v>15</v>
      </c>
      <c r="D120" s="3" t="s">
        <v>312</v>
      </c>
      <c r="E120" s="3" t="s">
        <v>313</v>
      </c>
      <c r="F120" s="3" t="s">
        <v>324</v>
      </c>
      <c r="G120" s="3" t="s">
        <v>315</v>
      </c>
      <c r="H120" s="2" t="s">
        <v>20</v>
      </c>
      <c r="I120" s="2" t="s">
        <v>28</v>
      </c>
      <c r="J120" s="2" t="s">
        <v>28</v>
      </c>
      <c r="K120" s="2" t="s">
        <v>22</v>
      </c>
      <c r="L120" s="2" t="s">
        <v>22</v>
      </c>
      <c r="M120" s="5" t="s">
        <v>29</v>
      </c>
    </row>
    <row r="121" customFormat="false" ht="35.05" hidden="false" customHeight="false" outlineLevel="0" collapsed="false">
      <c r="A121" s="2" t="s">
        <v>325</v>
      </c>
      <c r="B121" s="3" t="s">
        <v>311</v>
      </c>
      <c r="C121" s="2" t="s">
        <v>15</v>
      </c>
      <c r="D121" s="3" t="s">
        <v>312</v>
      </c>
      <c r="E121" s="3" t="s">
        <v>313</v>
      </c>
      <c r="F121" s="3" t="s">
        <v>326</v>
      </c>
      <c r="G121" s="3" t="s">
        <v>95</v>
      </c>
      <c r="H121" s="2" t="s">
        <v>20</v>
      </c>
      <c r="I121" s="2" t="s">
        <v>28</v>
      </c>
      <c r="J121" s="2" t="s">
        <v>28</v>
      </c>
      <c r="K121" s="2" t="s">
        <v>22</v>
      </c>
      <c r="L121" s="2" t="s">
        <v>22</v>
      </c>
      <c r="M121" s="5" t="s">
        <v>29</v>
      </c>
    </row>
    <row r="122" customFormat="false" ht="23.85" hidden="false" customHeight="false" outlineLevel="0" collapsed="false">
      <c r="A122" s="2" t="s">
        <v>327</v>
      </c>
      <c r="B122" s="3" t="s">
        <v>311</v>
      </c>
      <c r="C122" s="2" t="s">
        <v>15</v>
      </c>
      <c r="D122" s="3" t="s">
        <v>312</v>
      </c>
      <c r="E122" s="3" t="s">
        <v>328</v>
      </c>
      <c r="F122" s="3" t="s">
        <v>329</v>
      </c>
      <c r="G122" s="3" t="s">
        <v>330</v>
      </c>
      <c r="H122" s="2" t="s">
        <v>20</v>
      </c>
      <c r="I122" s="2" t="s">
        <v>28</v>
      </c>
      <c r="J122" s="2" t="s">
        <v>34</v>
      </c>
      <c r="K122" s="2" t="s">
        <v>22</v>
      </c>
      <c r="L122" s="2" t="s">
        <v>22</v>
      </c>
      <c r="M122" s="5" t="s">
        <v>29</v>
      </c>
    </row>
    <row r="123" customFormat="false" ht="23.85" hidden="false" customHeight="false" outlineLevel="0" collapsed="false">
      <c r="A123" s="2" t="s">
        <v>331</v>
      </c>
      <c r="B123" s="3" t="s">
        <v>311</v>
      </c>
      <c r="C123" s="2" t="s">
        <v>15</v>
      </c>
      <c r="D123" s="3" t="s">
        <v>312</v>
      </c>
      <c r="E123" s="3" t="s">
        <v>328</v>
      </c>
      <c r="F123" s="3" t="s">
        <v>332</v>
      </c>
      <c r="G123" s="3" t="s">
        <v>330</v>
      </c>
      <c r="H123" s="2" t="s">
        <v>20</v>
      </c>
      <c r="I123" s="2" t="s">
        <v>28</v>
      </c>
      <c r="J123" s="2" t="s">
        <v>34</v>
      </c>
      <c r="K123" s="2" t="s">
        <v>22</v>
      </c>
      <c r="L123" s="2" t="s">
        <v>22</v>
      </c>
      <c r="M123" s="5" t="s">
        <v>29</v>
      </c>
    </row>
    <row r="124" customFormat="false" ht="23.85" hidden="false" customHeight="false" outlineLevel="0" collapsed="false">
      <c r="A124" s="2" t="s">
        <v>333</v>
      </c>
      <c r="B124" s="3" t="s">
        <v>311</v>
      </c>
      <c r="C124" s="2" t="s">
        <v>15</v>
      </c>
      <c r="D124" s="3" t="s">
        <v>312</v>
      </c>
      <c r="E124" s="3" t="s">
        <v>328</v>
      </c>
      <c r="F124" s="3" t="s">
        <v>334</v>
      </c>
      <c r="G124" s="3" t="s">
        <v>330</v>
      </c>
      <c r="H124" s="2" t="s">
        <v>20</v>
      </c>
      <c r="I124" s="2" t="s">
        <v>28</v>
      </c>
      <c r="J124" s="2" t="s">
        <v>34</v>
      </c>
      <c r="K124" s="2" t="s">
        <v>22</v>
      </c>
      <c r="L124" s="2" t="s">
        <v>22</v>
      </c>
      <c r="M124" s="5" t="s">
        <v>29</v>
      </c>
    </row>
    <row r="125" customFormat="false" ht="35.05" hidden="false" customHeight="false" outlineLevel="0" collapsed="false">
      <c r="A125" s="2" t="s">
        <v>335</v>
      </c>
      <c r="B125" s="3" t="s">
        <v>311</v>
      </c>
      <c r="C125" s="2" t="s">
        <v>15</v>
      </c>
      <c r="D125" s="3" t="s">
        <v>312</v>
      </c>
      <c r="E125" s="3" t="s">
        <v>328</v>
      </c>
      <c r="F125" s="3" t="s">
        <v>336</v>
      </c>
      <c r="G125" s="3" t="s">
        <v>337</v>
      </c>
      <c r="H125" s="2" t="s">
        <v>20</v>
      </c>
      <c r="I125" s="2" t="s">
        <v>28</v>
      </c>
      <c r="J125" s="2" t="s">
        <v>34</v>
      </c>
      <c r="K125" s="2" t="s">
        <v>22</v>
      </c>
      <c r="L125" s="2" t="s">
        <v>22</v>
      </c>
      <c r="M125" s="5" t="s">
        <v>29</v>
      </c>
    </row>
    <row r="126" customFormat="false" ht="23.85" hidden="false" customHeight="false" outlineLevel="0" collapsed="false">
      <c r="A126" s="2" t="s">
        <v>338</v>
      </c>
      <c r="B126" s="3" t="s">
        <v>311</v>
      </c>
      <c r="C126" s="2" t="s">
        <v>15</v>
      </c>
      <c r="D126" s="3" t="s">
        <v>312</v>
      </c>
      <c r="E126" s="3" t="s">
        <v>328</v>
      </c>
      <c r="F126" s="3" t="s">
        <v>339</v>
      </c>
      <c r="G126" s="3" t="s">
        <v>340</v>
      </c>
      <c r="H126" s="2" t="s">
        <v>20</v>
      </c>
      <c r="I126" s="2" t="s">
        <v>28</v>
      </c>
      <c r="J126" s="2" t="s">
        <v>34</v>
      </c>
      <c r="K126" s="2" t="s">
        <v>22</v>
      </c>
      <c r="L126" s="2" t="s">
        <v>22</v>
      </c>
      <c r="M126" s="5" t="s">
        <v>29</v>
      </c>
    </row>
    <row r="127" customFormat="false" ht="23.85" hidden="false" customHeight="false" outlineLevel="0" collapsed="false">
      <c r="A127" s="2" t="s">
        <v>341</v>
      </c>
      <c r="B127" s="3" t="s">
        <v>311</v>
      </c>
      <c r="C127" s="2" t="s">
        <v>15</v>
      </c>
      <c r="D127" s="3" t="s">
        <v>312</v>
      </c>
      <c r="E127" s="3" t="s">
        <v>328</v>
      </c>
      <c r="F127" s="3" t="s">
        <v>342</v>
      </c>
      <c r="G127" s="3" t="s">
        <v>330</v>
      </c>
      <c r="H127" s="2" t="s">
        <v>20</v>
      </c>
      <c r="I127" s="2" t="s">
        <v>28</v>
      </c>
      <c r="J127" s="2" t="s">
        <v>34</v>
      </c>
      <c r="K127" s="2" t="s">
        <v>22</v>
      </c>
      <c r="L127" s="2" t="s">
        <v>22</v>
      </c>
      <c r="M127" s="5" t="s">
        <v>29</v>
      </c>
    </row>
    <row r="128" customFormat="false" ht="23.85" hidden="false" customHeight="false" outlineLevel="0" collapsed="false">
      <c r="A128" s="2" t="s">
        <v>343</v>
      </c>
      <c r="B128" s="3" t="s">
        <v>311</v>
      </c>
      <c r="C128" s="2" t="s">
        <v>15</v>
      </c>
      <c r="D128" s="3" t="s">
        <v>312</v>
      </c>
      <c r="E128" s="3" t="s">
        <v>328</v>
      </c>
      <c r="F128" s="3" t="s">
        <v>344</v>
      </c>
      <c r="G128" s="3" t="s">
        <v>340</v>
      </c>
      <c r="H128" s="2" t="s">
        <v>20</v>
      </c>
      <c r="I128" s="2" t="s">
        <v>28</v>
      </c>
      <c r="J128" s="2" t="s">
        <v>34</v>
      </c>
      <c r="K128" s="2" t="s">
        <v>22</v>
      </c>
      <c r="L128" s="2" t="s">
        <v>22</v>
      </c>
      <c r="M128" s="5" t="s">
        <v>29</v>
      </c>
    </row>
    <row r="129" customFormat="false" ht="23.85" hidden="false" customHeight="false" outlineLevel="0" collapsed="false">
      <c r="A129" s="2" t="s">
        <v>345</v>
      </c>
      <c r="B129" s="3" t="s">
        <v>311</v>
      </c>
      <c r="C129" s="2" t="s">
        <v>15</v>
      </c>
      <c r="D129" s="3" t="s">
        <v>312</v>
      </c>
      <c r="E129" s="3" t="s">
        <v>328</v>
      </c>
      <c r="F129" s="3" t="s">
        <v>346</v>
      </c>
      <c r="G129" s="3" t="s">
        <v>340</v>
      </c>
      <c r="H129" s="2" t="s">
        <v>20</v>
      </c>
      <c r="I129" s="2" t="s">
        <v>28</v>
      </c>
      <c r="J129" s="2" t="s">
        <v>34</v>
      </c>
      <c r="K129" s="2" t="s">
        <v>22</v>
      </c>
      <c r="L129" s="2" t="s">
        <v>22</v>
      </c>
      <c r="M129" s="5" t="s">
        <v>29</v>
      </c>
    </row>
    <row r="130" customFormat="false" ht="35.05" hidden="false" customHeight="false" outlineLevel="0" collapsed="false">
      <c r="A130" s="2" t="s">
        <v>347</v>
      </c>
      <c r="B130" s="3" t="s">
        <v>311</v>
      </c>
      <c r="C130" s="2" t="s">
        <v>15</v>
      </c>
      <c r="D130" s="3" t="s">
        <v>312</v>
      </c>
      <c r="E130" s="3" t="s">
        <v>328</v>
      </c>
      <c r="F130" s="3" t="s">
        <v>348</v>
      </c>
      <c r="G130" s="3" t="s">
        <v>349</v>
      </c>
      <c r="H130" s="2" t="s">
        <v>20</v>
      </c>
      <c r="I130" s="2" t="s">
        <v>28</v>
      </c>
      <c r="J130" s="2" t="s">
        <v>34</v>
      </c>
      <c r="K130" s="2" t="s">
        <v>22</v>
      </c>
      <c r="L130" s="2" t="s">
        <v>22</v>
      </c>
      <c r="M130" s="5" t="s">
        <v>29</v>
      </c>
    </row>
    <row r="131" customFormat="false" ht="35.05" hidden="false" customHeight="false" outlineLevel="0" collapsed="false">
      <c r="A131" s="2" t="s">
        <v>350</v>
      </c>
      <c r="B131" s="3" t="s">
        <v>311</v>
      </c>
      <c r="C131" s="2" t="s">
        <v>15</v>
      </c>
      <c r="D131" s="3" t="s">
        <v>312</v>
      </c>
      <c r="E131" s="3" t="s">
        <v>328</v>
      </c>
      <c r="F131" s="3" t="s">
        <v>351</v>
      </c>
      <c r="G131" s="3" t="s">
        <v>349</v>
      </c>
      <c r="H131" s="2" t="s">
        <v>20</v>
      </c>
      <c r="I131" s="2" t="s">
        <v>28</v>
      </c>
      <c r="J131" s="2" t="s">
        <v>34</v>
      </c>
      <c r="K131" s="2" t="s">
        <v>22</v>
      </c>
      <c r="L131" s="2" t="s">
        <v>22</v>
      </c>
      <c r="M131" s="5" t="s">
        <v>29</v>
      </c>
    </row>
    <row r="132" customFormat="false" ht="23.85" hidden="false" customHeight="false" outlineLevel="0" collapsed="false">
      <c r="A132" s="2" t="s">
        <v>352</v>
      </c>
      <c r="B132" s="3" t="s">
        <v>311</v>
      </c>
      <c r="C132" s="2" t="s">
        <v>15</v>
      </c>
      <c r="D132" s="3" t="s">
        <v>312</v>
      </c>
      <c r="E132" s="3" t="s">
        <v>328</v>
      </c>
      <c r="F132" s="3" t="s">
        <v>353</v>
      </c>
      <c r="G132" s="3" t="s">
        <v>330</v>
      </c>
      <c r="H132" s="2" t="s">
        <v>20</v>
      </c>
      <c r="I132" s="2" t="s">
        <v>28</v>
      </c>
      <c r="J132" s="2" t="s">
        <v>34</v>
      </c>
      <c r="K132" s="2" t="s">
        <v>22</v>
      </c>
      <c r="L132" s="2" t="s">
        <v>22</v>
      </c>
      <c r="M132" s="5" t="s">
        <v>29</v>
      </c>
    </row>
    <row r="133" customFormat="false" ht="23.85" hidden="false" customHeight="false" outlineLevel="0" collapsed="false">
      <c r="A133" s="2" t="s">
        <v>354</v>
      </c>
      <c r="B133" s="3" t="s">
        <v>311</v>
      </c>
      <c r="C133" s="2" t="s">
        <v>15</v>
      </c>
      <c r="D133" s="3" t="s">
        <v>312</v>
      </c>
      <c r="E133" s="3" t="s">
        <v>328</v>
      </c>
      <c r="F133" s="3" t="s">
        <v>355</v>
      </c>
      <c r="G133" s="3" t="s">
        <v>356</v>
      </c>
      <c r="H133" s="2" t="s">
        <v>20</v>
      </c>
      <c r="I133" s="2" t="s">
        <v>28</v>
      </c>
      <c r="J133" s="2" t="s">
        <v>34</v>
      </c>
      <c r="K133" s="2" t="s">
        <v>22</v>
      </c>
      <c r="L133" s="2" t="s">
        <v>22</v>
      </c>
      <c r="M133" s="5" t="s">
        <v>29</v>
      </c>
    </row>
    <row r="134" customFormat="false" ht="23.85" hidden="false" customHeight="false" outlineLevel="0" collapsed="false">
      <c r="A134" s="2" t="s">
        <v>357</v>
      </c>
      <c r="B134" s="3" t="s">
        <v>311</v>
      </c>
      <c r="C134" s="2" t="s">
        <v>15</v>
      </c>
      <c r="D134" s="3" t="s">
        <v>312</v>
      </c>
      <c r="E134" s="3" t="s">
        <v>328</v>
      </c>
      <c r="F134" s="3" t="s">
        <v>358</v>
      </c>
      <c r="G134" s="3" t="s">
        <v>356</v>
      </c>
      <c r="H134" s="2" t="s">
        <v>20</v>
      </c>
      <c r="I134" s="2" t="s">
        <v>28</v>
      </c>
      <c r="J134" s="2" t="s">
        <v>34</v>
      </c>
      <c r="K134" s="2" t="s">
        <v>22</v>
      </c>
      <c r="L134" s="2" t="s">
        <v>22</v>
      </c>
      <c r="M134" s="5" t="s">
        <v>29</v>
      </c>
    </row>
    <row r="135" customFormat="false" ht="35.05" hidden="false" customHeight="false" outlineLevel="0" collapsed="false">
      <c r="A135" s="2" t="s">
        <v>359</v>
      </c>
      <c r="B135" s="3" t="s">
        <v>311</v>
      </c>
      <c r="C135" s="2" t="s">
        <v>15</v>
      </c>
      <c r="D135" s="3" t="s">
        <v>312</v>
      </c>
      <c r="E135" s="3" t="s">
        <v>328</v>
      </c>
      <c r="F135" s="3" t="s">
        <v>360</v>
      </c>
      <c r="G135" s="3" t="s">
        <v>361</v>
      </c>
      <c r="H135" s="2" t="s">
        <v>20</v>
      </c>
      <c r="I135" s="2" t="s">
        <v>28</v>
      </c>
      <c r="J135" s="2" t="s">
        <v>34</v>
      </c>
      <c r="K135" s="2" t="s">
        <v>22</v>
      </c>
      <c r="L135" s="2" t="s">
        <v>22</v>
      </c>
      <c r="M135" s="5" t="s">
        <v>29</v>
      </c>
    </row>
    <row r="136" customFormat="false" ht="35.05" hidden="false" customHeight="false" outlineLevel="0" collapsed="false">
      <c r="A136" s="2" t="s">
        <v>362</v>
      </c>
      <c r="B136" s="3" t="s">
        <v>311</v>
      </c>
      <c r="C136" s="2" t="s">
        <v>15</v>
      </c>
      <c r="D136" s="3" t="s">
        <v>312</v>
      </c>
      <c r="E136" s="3" t="s">
        <v>328</v>
      </c>
      <c r="F136" s="3" t="s">
        <v>363</v>
      </c>
      <c r="G136" s="3" t="s">
        <v>340</v>
      </c>
      <c r="H136" s="2" t="s">
        <v>20</v>
      </c>
      <c r="I136" s="2" t="s">
        <v>28</v>
      </c>
      <c r="J136" s="2" t="s">
        <v>34</v>
      </c>
      <c r="K136" s="2" t="s">
        <v>22</v>
      </c>
      <c r="L136" s="2" t="s">
        <v>22</v>
      </c>
      <c r="M136" s="5" t="s">
        <v>29</v>
      </c>
    </row>
    <row r="137" customFormat="false" ht="35.05" hidden="false" customHeight="false" outlineLevel="0" collapsed="false">
      <c r="A137" s="2" t="s">
        <v>364</v>
      </c>
      <c r="B137" s="3" t="s">
        <v>311</v>
      </c>
      <c r="C137" s="2" t="s">
        <v>15</v>
      </c>
      <c r="D137" s="3" t="s">
        <v>312</v>
      </c>
      <c r="E137" s="3" t="s">
        <v>328</v>
      </c>
      <c r="F137" s="3" t="s">
        <v>365</v>
      </c>
      <c r="G137" s="3" t="s">
        <v>340</v>
      </c>
      <c r="H137" s="2" t="s">
        <v>20</v>
      </c>
      <c r="I137" s="2" t="s">
        <v>28</v>
      </c>
      <c r="J137" s="2" t="s">
        <v>34</v>
      </c>
      <c r="K137" s="2" t="s">
        <v>22</v>
      </c>
      <c r="L137" s="2" t="s">
        <v>22</v>
      </c>
      <c r="M137" s="5" t="s">
        <v>29</v>
      </c>
    </row>
    <row r="138" customFormat="false" ht="23.85" hidden="false" customHeight="false" outlineLevel="0" collapsed="false">
      <c r="A138" s="2" t="s">
        <v>366</v>
      </c>
      <c r="B138" s="3" t="s">
        <v>311</v>
      </c>
      <c r="C138" s="2" t="s">
        <v>15</v>
      </c>
      <c r="D138" s="3" t="s">
        <v>312</v>
      </c>
      <c r="E138" s="3" t="s">
        <v>328</v>
      </c>
      <c r="F138" s="3" t="s">
        <v>367</v>
      </c>
      <c r="G138" s="3" t="s">
        <v>340</v>
      </c>
      <c r="H138" s="2" t="s">
        <v>20</v>
      </c>
      <c r="I138" s="2" t="s">
        <v>28</v>
      </c>
      <c r="J138" s="2" t="s">
        <v>34</v>
      </c>
      <c r="K138" s="2" t="s">
        <v>22</v>
      </c>
      <c r="L138" s="2" t="s">
        <v>22</v>
      </c>
      <c r="M138" s="5" t="s">
        <v>29</v>
      </c>
    </row>
    <row r="139" customFormat="false" ht="23.85" hidden="false" customHeight="false" outlineLevel="0" collapsed="false">
      <c r="A139" s="2" t="s">
        <v>368</v>
      </c>
      <c r="B139" s="3" t="s">
        <v>311</v>
      </c>
      <c r="C139" s="2" t="s">
        <v>15</v>
      </c>
      <c r="D139" s="3" t="s">
        <v>312</v>
      </c>
      <c r="E139" s="3" t="s">
        <v>328</v>
      </c>
      <c r="F139" s="3" t="s">
        <v>369</v>
      </c>
      <c r="G139" s="3" t="s">
        <v>340</v>
      </c>
      <c r="H139" s="2" t="s">
        <v>20</v>
      </c>
      <c r="I139" s="2" t="s">
        <v>28</v>
      </c>
      <c r="J139" s="2" t="s">
        <v>34</v>
      </c>
      <c r="K139" s="2" t="s">
        <v>22</v>
      </c>
      <c r="L139" s="2" t="s">
        <v>22</v>
      </c>
      <c r="M139" s="5" t="s">
        <v>29</v>
      </c>
    </row>
    <row r="140" customFormat="false" ht="35.05" hidden="false" customHeight="false" outlineLevel="0" collapsed="false">
      <c r="A140" s="2" t="s">
        <v>370</v>
      </c>
      <c r="B140" s="3" t="s">
        <v>311</v>
      </c>
      <c r="C140" s="2" t="s">
        <v>15</v>
      </c>
      <c r="D140" s="3" t="s">
        <v>312</v>
      </c>
      <c r="E140" s="3" t="s">
        <v>328</v>
      </c>
      <c r="F140" s="3" t="s">
        <v>371</v>
      </c>
      <c r="G140" s="3" t="s">
        <v>349</v>
      </c>
      <c r="H140" s="2" t="s">
        <v>20</v>
      </c>
      <c r="I140" s="2" t="s">
        <v>28</v>
      </c>
      <c r="J140" s="2" t="s">
        <v>34</v>
      </c>
      <c r="K140" s="2" t="s">
        <v>22</v>
      </c>
      <c r="L140" s="2" t="s">
        <v>22</v>
      </c>
      <c r="M140" s="5" t="s">
        <v>29</v>
      </c>
    </row>
    <row r="141" customFormat="false" ht="35.05" hidden="false" customHeight="false" outlineLevel="0" collapsed="false">
      <c r="A141" s="2" t="s">
        <v>372</v>
      </c>
      <c r="B141" s="3" t="s">
        <v>373</v>
      </c>
      <c r="C141" s="2" t="s">
        <v>15</v>
      </c>
      <c r="D141" s="3" t="s">
        <v>374</v>
      </c>
      <c r="E141" s="3" t="s">
        <v>287</v>
      </c>
      <c r="F141" s="3" t="s">
        <v>375</v>
      </c>
      <c r="G141" s="3" t="s">
        <v>376</v>
      </c>
      <c r="H141" s="2" t="s">
        <v>20</v>
      </c>
      <c r="I141" s="2" t="s">
        <v>28</v>
      </c>
      <c r="J141" s="2" t="s">
        <v>28</v>
      </c>
      <c r="K141" s="2" t="s">
        <v>22</v>
      </c>
      <c r="L141" s="2" t="s">
        <v>22</v>
      </c>
      <c r="M141" s="5" t="s">
        <v>29</v>
      </c>
    </row>
    <row r="142" customFormat="false" ht="35.05" hidden="false" customHeight="false" outlineLevel="0" collapsed="false">
      <c r="A142" s="2" t="s">
        <v>377</v>
      </c>
      <c r="B142" s="3" t="s">
        <v>373</v>
      </c>
      <c r="C142" s="2" t="s">
        <v>15</v>
      </c>
      <c r="D142" s="3" t="s">
        <v>374</v>
      </c>
      <c r="E142" s="3" t="s">
        <v>287</v>
      </c>
      <c r="F142" s="3" t="s">
        <v>378</v>
      </c>
      <c r="G142" s="3" t="s">
        <v>379</v>
      </c>
      <c r="H142" s="2" t="s">
        <v>20</v>
      </c>
      <c r="I142" s="2" t="s">
        <v>28</v>
      </c>
      <c r="J142" s="2" t="s">
        <v>34</v>
      </c>
      <c r="K142" s="2" t="s">
        <v>22</v>
      </c>
      <c r="L142" s="2" t="s">
        <v>22</v>
      </c>
      <c r="M142" s="5" t="s">
        <v>29</v>
      </c>
    </row>
    <row r="143" customFormat="false" ht="35.05" hidden="false" customHeight="false" outlineLevel="0" collapsed="false">
      <c r="A143" s="2" t="s">
        <v>380</v>
      </c>
      <c r="B143" s="3" t="s">
        <v>373</v>
      </c>
      <c r="C143" s="2" t="s">
        <v>15</v>
      </c>
      <c r="D143" s="3" t="s">
        <v>374</v>
      </c>
      <c r="E143" s="3" t="s">
        <v>287</v>
      </c>
      <c r="F143" s="3" t="s">
        <v>381</v>
      </c>
      <c r="G143" s="3" t="s">
        <v>382</v>
      </c>
      <c r="H143" s="2" t="s">
        <v>20</v>
      </c>
      <c r="I143" s="2" t="s">
        <v>28</v>
      </c>
      <c r="J143" s="2" t="s">
        <v>28</v>
      </c>
      <c r="K143" s="2" t="s">
        <v>22</v>
      </c>
      <c r="L143" s="2" t="s">
        <v>22</v>
      </c>
      <c r="M143" s="5" t="s">
        <v>29</v>
      </c>
    </row>
    <row r="144" customFormat="false" ht="23.85" hidden="false" customHeight="false" outlineLevel="0" collapsed="false">
      <c r="A144" s="2" t="s">
        <v>383</v>
      </c>
      <c r="B144" s="3" t="s">
        <v>373</v>
      </c>
      <c r="C144" s="2" t="s">
        <v>15</v>
      </c>
      <c r="D144" s="3" t="s">
        <v>374</v>
      </c>
      <c r="E144" s="3" t="s">
        <v>287</v>
      </c>
      <c r="F144" s="3" t="s">
        <v>384</v>
      </c>
      <c r="G144" s="3" t="s">
        <v>385</v>
      </c>
      <c r="H144" s="2" t="s">
        <v>20</v>
      </c>
      <c r="I144" s="2" t="s">
        <v>28</v>
      </c>
      <c r="J144" s="2" t="s">
        <v>28</v>
      </c>
      <c r="K144" s="2" t="s">
        <v>22</v>
      </c>
      <c r="L144" s="2" t="s">
        <v>22</v>
      </c>
      <c r="M144" s="5" t="s">
        <v>29</v>
      </c>
    </row>
    <row r="145" customFormat="false" ht="23.85" hidden="false" customHeight="false" outlineLevel="0" collapsed="false">
      <c r="A145" s="2" t="s">
        <v>386</v>
      </c>
      <c r="B145" s="3" t="s">
        <v>373</v>
      </c>
      <c r="C145" s="2" t="s">
        <v>15</v>
      </c>
      <c r="D145" s="3" t="s">
        <v>374</v>
      </c>
      <c r="E145" s="3" t="s">
        <v>287</v>
      </c>
      <c r="F145" s="3" t="s">
        <v>387</v>
      </c>
      <c r="G145" s="3" t="s">
        <v>382</v>
      </c>
      <c r="H145" s="2" t="s">
        <v>20</v>
      </c>
      <c r="I145" s="2" t="s">
        <v>34</v>
      </c>
      <c r="J145" s="2" t="s">
        <v>28</v>
      </c>
      <c r="K145" s="2" t="s">
        <v>22</v>
      </c>
      <c r="L145" s="2" t="s">
        <v>22</v>
      </c>
      <c r="M145" s="5" t="s">
        <v>29</v>
      </c>
    </row>
    <row r="146" customFormat="false" ht="35.05" hidden="false" customHeight="false" outlineLevel="0" collapsed="false">
      <c r="A146" s="2" t="s">
        <v>388</v>
      </c>
      <c r="B146" s="3" t="s">
        <v>373</v>
      </c>
      <c r="C146" s="2" t="s">
        <v>15</v>
      </c>
      <c r="D146" s="3" t="s">
        <v>374</v>
      </c>
      <c r="E146" s="3" t="s">
        <v>287</v>
      </c>
      <c r="F146" s="3" t="s">
        <v>389</v>
      </c>
      <c r="G146" s="3" t="s">
        <v>390</v>
      </c>
      <c r="H146" s="2" t="s">
        <v>20</v>
      </c>
      <c r="I146" s="2" t="s">
        <v>28</v>
      </c>
      <c r="J146" s="2" t="s">
        <v>34</v>
      </c>
      <c r="K146" s="2" t="s">
        <v>22</v>
      </c>
      <c r="L146" s="2" t="s">
        <v>22</v>
      </c>
      <c r="M146" s="5" t="s">
        <v>29</v>
      </c>
    </row>
    <row r="147" customFormat="false" ht="35.05" hidden="false" customHeight="false" outlineLevel="0" collapsed="false">
      <c r="A147" s="7" t="s">
        <v>391</v>
      </c>
      <c r="B147" s="8" t="s">
        <v>392</v>
      </c>
      <c r="C147" s="7" t="s">
        <v>393</v>
      </c>
      <c r="D147" s="8" t="s">
        <v>394</v>
      </c>
      <c r="E147" s="8" t="s">
        <v>395</v>
      </c>
      <c r="F147" s="8" t="s">
        <v>396</v>
      </c>
      <c r="G147" s="8" t="s">
        <v>397</v>
      </c>
      <c r="H147" s="7" t="s">
        <v>20</v>
      </c>
      <c r="I147" s="7" t="s">
        <v>28</v>
      </c>
      <c r="J147" s="7" t="s">
        <v>34</v>
      </c>
      <c r="K147" s="7" t="s">
        <v>22</v>
      </c>
      <c r="L147" s="7" t="s">
        <v>22</v>
      </c>
      <c r="M147" s="7" t="s">
        <v>398</v>
      </c>
    </row>
    <row r="148" customFormat="false" ht="23.85" hidden="false" customHeight="false" outlineLevel="0" collapsed="false">
      <c r="A148" s="7" t="s">
        <v>399</v>
      </c>
      <c r="B148" s="8" t="s">
        <v>392</v>
      </c>
      <c r="C148" s="7" t="s">
        <v>393</v>
      </c>
      <c r="D148" s="8" t="s">
        <v>394</v>
      </c>
      <c r="E148" s="8" t="s">
        <v>395</v>
      </c>
      <c r="F148" s="8" t="s">
        <v>400</v>
      </c>
      <c r="G148" s="8" t="s">
        <v>63</v>
      </c>
      <c r="H148" s="7" t="s">
        <v>20</v>
      </c>
      <c r="I148" s="7" t="s">
        <v>28</v>
      </c>
      <c r="J148" s="7" t="s">
        <v>21</v>
      </c>
      <c r="K148" s="7" t="s">
        <v>22</v>
      </c>
      <c r="L148" s="7" t="s">
        <v>22</v>
      </c>
      <c r="M148" s="7" t="s">
        <v>398</v>
      </c>
    </row>
    <row r="149" customFormat="false" ht="35.05" hidden="false" customHeight="false" outlineLevel="0" collapsed="false">
      <c r="A149" s="7" t="s">
        <v>401</v>
      </c>
      <c r="B149" s="8" t="s">
        <v>392</v>
      </c>
      <c r="C149" s="7" t="s">
        <v>393</v>
      </c>
      <c r="D149" s="8" t="s">
        <v>394</v>
      </c>
      <c r="E149" s="8" t="s">
        <v>395</v>
      </c>
      <c r="F149" s="8" t="s">
        <v>402</v>
      </c>
      <c r="G149" s="8" t="s">
        <v>403</v>
      </c>
      <c r="H149" s="7" t="s">
        <v>20</v>
      </c>
      <c r="I149" s="7" t="s">
        <v>28</v>
      </c>
      <c r="J149" s="7" t="s">
        <v>34</v>
      </c>
      <c r="K149" s="7" t="s">
        <v>22</v>
      </c>
      <c r="L149" s="7" t="s">
        <v>22</v>
      </c>
      <c r="M149" s="7" t="s">
        <v>398</v>
      </c>
    </row>
    <row r="150" customFormat="false" ht="35.05" hidden="false" customHeight="false" outlineLevel="0" collapsed="false">
      <c r="A150" s="7" t="s">
        <v>404</v>
      </c>
      <c r="B150" s="8" t="s">
        <v>392</v>
      </c>
      <c r="C150" s="7" t="s">
        <v>393</v>
      </c>
      <c r="D150" s="8" t="s">
        <v>394</v>
      </c>
      <c r="E150" s="8" t="s">
        <v>395</v>
      </c>
      <c r="F150" s="8" t="s">
        <v>405</v>
      </c>
      <c r="G150" s="8" t="s">
        <v>406</v>
      </c>
      <c r="H150" s="7" t="s">
        <v>20</v>
      </c>
      <c r="I150" s="7" t="s">
        <v>28</v>
      </c>
      <c r="J150" s="7" t="s">
        <v>21</v>
      </c>
      <c r="K150" s="7" t="s">
        <v>22</v>
      </c>
      <c r="L150" s="7" t="s">
        <v>22</v>
      </c>
      <c r="M150" s="7" t="s">
        <v>398</v>
      </c>
    </row>
    <row r="151" customFormat="false" ht="35.05" hidden="false" customHeight="false" outlineLevel="0" collapsed="false">
      <c r="A151" s="7" t="s">
        <v>407</v>
      </c>
      <c r="B151" s="8" t="s">
        <v>392</v>
      </c>
      <c r="C151" s="7" t="s">
        <v>393</v>
      </c>
      <c r="D151" s="8" t="s">
        <v>394</v>
      </c>
      <c r="E151" s="8" t="s">
        <v>395</v>
      </c>
      <c r="F151" s="8" t="s">
        <v>408</v>
      </c>
      <c r="G151" s="8" t="s">
        <v>403</v>
      </c>
      <c r="H151" s="7" t="s">
        <v>20</v>
      </c>
      <c r="I151" s="7" t="s">
        <v>28</v>
      </c>
      <c r="J151" s="7" t="s">
        <v>21</v>
      </c>
      <c r="K151" s="7" t="s">
        <v>22</v>
      </c>
      <c r="L151" s="7" t="s">
        <v>22</v>
      </c>
      <c r="M151" s="7" t="s">
        <v>398</v>
      </c>
    </row>
    <row r="152" customFormat="false" ht="23.85" hidden="false" customHeight="false" outlineLevel="0" collapsed="false">
      <c r="A152" s="7" t="s">
        <v>409</v>
      </c>
      <c r="B152" s="8" t="s">
        <v>392</v>
      </c>
      <c r="C152" s="7" t="s">
        <v>393</v>
      </c>
      <c r="D152" s="8" t="s">
        <v>394</v>
      </c>
      <c r="E152" s="8" t="s">
        <v>395</v>
      </c>
      <c r="F152" s="8" t="s">
        <v>410</v>
      </c>
      <c r="G152" s="8" t="s">
        <v>411</v>
      </c>
      <c r="H152" s="7" t="s">
        <v>20</v>
      </c>
      <c r="I152" s="7" t="s">
        <v>28</v>
      </c>
      <c r="J152" s="7" t="s">
        <v>34</v>
      </c>
      <c r="K152" s="7" t="s">
        <v>22</v>
      </c>
      <c r="L152" s="7" t="s">
        <v>22</v>
      </c>
      <c r="M152" s="7" t="s">
        <v>398</v>
      </c>
    </row>
    <row r="153" customFormat="false" ht="35.05" hidden="false" customHeight="false" outlineLevel="0" collapsed="false">
      <c r="A153" s="7" t="s">
        <v>412</v>
      </c>
      <c r="B153" s="8" t="s">
        <v>392</v>
      </c>
      <c r="C153" s="7" t="s">
        <v>393</v>
      </c>
      <c r="D153" s="8" t="s">
        <v>394</v>
      </c>
      <c r="E153" s="8" t="s">
        <v>395</v>
      </c>
      <c r="F153" s="8" t="s">
        <v>413</v>
      </c>
      <c r="G153" s="8" t="s">
        <v>414</v>
      </c>
      <c r="H153" s="7" t="s">
        <v>20</v>
      </c>
      <c r="I153" s="7" t="s">
        <v>28</v>
      </c>
      <c r="J153" s="7" t="s">
        <v>21</v>
      </c>
      <c r="K153" s="7" t="s">
        <v>22</v>
      </c>
      <c r="L153" s="7" t="s">
        <v>22</v>
      </c>
      <c r="M153" s="7" t="s">
        <v>398</v>
      </c>
    </row>
    <row r="154" customFormat="false" ht="35.05" hidden="false" customHeight="false" outlineLevel="0" collapsed="false">
      <c r="A154" s="7" t="s">
        <v>415</v>
      </c>
      <c r="B154" s="8" t="s">
        <v>392</v>
      </c>
      <c r="C154" s="7" t="s">
        <v>393</v>
      </c>
      <c r="D154" s="8" t="s">
        <v>394</v>
      </c>
      <c r="E154" s="8" t="s">
        <v>395</v>
      </c>
      <c r="F154" s="8" t="s">
        <v>416</v>
      </c>
      <c r="G154" s="8" t="s">
        <v>414</v>
      </c>
      <c r="H154" s="7" t="s">
        <v>20</v>
      </c>
      <c r="I154" s="7" t="s">
        <v>28</v>
      </c>
      <c r="J154" s="7" t="s">
        <v>34</v>
      </c>
      <c r="K154" s="7" t="s">
        <v>22</v>
      </c>
      <c r="L154" s="7" t="s">
        <v>22</v>
      </c>
      <c r="M154" s="7" t="s">
        <v>398</v>
      </c>
    </row>
    <row r="155" customFormat="false" ht="23.85" hidden="false" customHeight="false" outlineLevel="0" collapsed="false">
      <c r="A155" s="7" t="s">
        <v>417</v>
      </c>
      <c r="B155" s="8" t="s">
        <v>392</v>
      </c>
      <c r="C155" s="7" t="s">
        <v>393</v>
      </c>
      <c r="D155" s="8" t="s">
        <v>394</v>
      </c>
      <c r="E155" s="8" t="s">
        <v>395</v>
      </c>
      <c r="F155" s="8" t="s">
        <v>418</v>
      </c>
      <c r="G155" s="8" t="s">
        <v>411</v>
      </c>
      <c r="H155" s="7" t="s">
        <v>20</v>
      </c>
      <c r="I155" s="7" t="s">
        <v>28</v>
      </c>
      <c r="J155" s="7" t="s">
        <v>34</v>
      </c>
      <c r="K155" s="7" t="s">
        <v>22</v>
      </c>
      <c r="L155" s="7" t="s">
        <v>22</v>
      </c>
      <c r="M155" s="7" t="s">
        <v>398</v>
      </c>
    </row>
    <row r="156" customFormat="false" ht="35.05" hidden="false" customHeight="false" outlineLevel="0" collapsed="false">
      <c r="A156" s="7" t="s">
        <v>419</v>
      </c>
      <c r="B156" s="8" t="s">
        <v>392</v>
      </c>
      <c r="C156" s="7" t="s">
        <v>393</v>
      </c>
      <c r="D156" s="8" t="s">
        <v>394</v>
      </c>
      <c r="E156" s="8" t="s">
        <v>395</v>
      </c>
      <c r="F156" s="8" t="s">
        <v>420</v>
      </c>
      <c r="G156" s="8" t="s">
        <v>414</v>
      </c>
      <c r="H156" s="7" t="s">
        <v>20</v>
      </c>
      <c r="I156" s="7" t="s">
        <v>28</v>
      </c>
      <c r="J156" s="7" t="s">
        <v>21</v>
      </c>
      <c r="K156" s="7" t="s">
        <v>22</v>
      </c>
      <c r="L156" s="7" t="s">
        <v>22</v>
      </c>
      <c r="M156" s="7" t="s">
        <v>398</v>
      </c>
    </row>
    <row r="157" customFormat="false" ht="35.05" hidden="false" customHeight="false" outlineLevel="0" collapsed="false">
      <c r="A157" s="7" t="s">
        <v>421</v>
      </c>
      <c r="B157" s="8" t="s">
        <v>392</v>
      </c>
      <c r="C157" s="7" t="s">
        <v>393</v>
      </c>
      <c r="D157" s="8" t="s">
        <v>394</v>
      </c>
      <c r="E157" s="8" t="s">
        <v>395</v>
      </c>
      <c r="F157" s="8" t="s">
        <v>422</v>
      </c>
      <c r="G157" s="8" t="s">
        <v>423</v>
      </c>
      <c r="H157" s="7" t="s">
        <v>20</v>
      </c>
      <c r="I157" s="7" t="s">
        <v>28</v>
      </c>
      <c r="J157" s="7" t="s">
        <v>28</v>
      </c>
      <c r="K157" s="7" t="s">
        <v>22</v>
      </c>
      <c r="L157" s="7" t="s">
        <v>22</v>
      </c>
      <c r="M157" s="7" t="s">
        <v>398</v>
      </c>
    </row>
    <row r="158" customFormat="false" ht="35.05" hidden="false" customHeight="false" outlineLevel="0" collapsed="false">
      <c r="A158" s="7" t="s">
        <v>424</v>
      </c>
      <c r="B158" s="8" t="s">
        <v>392</v>
      </c>
      <c r="C158" s="7" t="s">
        <v>393</v>
      </c>
      <c r="D158" s="8" t="s">
        <v>394</v>
      </c>
      <c r="E158" s="8" t="s">
        <v>395</v>
      </c>
      <c r="F158" s="8" t="s">
        <v>425</v>
      </c>
      <c r="G158" s="8" t="s">
        <v>166</v>
      </c>
      <c r="H158" s="7" t="s">
        <v>20</v>
      </c>
      <c r="I158" s="7" t="s">
        <v>34</v>
      </c>
      <c r="J158" s="7" t="s">
        <v>21</v>
      </c>
      <c r="K158" s="7" t="s">
        <v>22</v>
      </c>
      <c r="L158" s="7" t="s">
        <v>22</v>
      </c>
      <c r="M158" s="7" t="s">
        <v>398</v>
      </c>
    </row>
    <row r="159" customFormat="false" ht="35.05" hidden="false" customHeight="false" outlineLevel="0" collapsed="false">
      <c r="A159" s="7" t="s">
        <v>426</v>
      </c>
      <c r="B159" s="8" t="s">
        <v>392</v>
      </c>
      <c r="C159" s="7" t="s">
        <v>393</v>
      </c>
      <c r="D159" s="8" t="s">
        <v>394</v>
      </c>
      <c r="E159" s="8" t="s">
        <v>395</v>
      </c>
      <c r="F159" s="8" t="s">
        <v>427</v>
      </c>
      <c r="G159" s="8" t="s">
        <v>428</v>
      </c>
      <c r="H159" s="7" t="s">
        <v>20</v>
      </c>
      <c r="I159" s="7" t="s">
        <v>28</v>
      </c>
      <c r="J159" s="7" t="s">
        <v>21</v>
      </c>
      <c r="K159" s="7" t="s">
        <v>22</v>
      </c>
      <c r="L159" s="7" t="s">
        <v>22</v>
      </c>
      <c r="M159" s="7" t="s">
        <v>398</v>
      </c>
    </row>
    <row r="160" customFormat="false" ht="35.05" hidden="false" customHeight="false" outlineLevel="0" collapsed="false">
      <c r="A160" s="7" t="s">
        <v>429</v>
      </c>
      <c r="B160" s="8" t="s">
        <v>392</v>
      </c>
      <c r="C160" s="7" t="s">
        <v>393</v>
      </c>
      <c r="D160" s="8" t="s">
        <v>394</v>
      </c>
      <c r="E160" s="8" t="s">
        <v>395</v>
      </c>
      <c r="F160" s="8" t="s">
        <v>430</v>
      </c>
      <c r="G160" s="8" t="s">
        <v>431</v>
      </c>
      <c r="H160" s="7" t="s">
        <v>20</v>
      </c>
      <c r="I160" s="7" t="s">
        <v>34</v>
      </c>
      <c r="J160" s="7" t="s">
        <v>21</v>
      </c>
      <c r="K160" s="7" t="s">
        <v>22</v>
      </c>
      <c r="L160" s="7" t="s">
        <v>22</v>
      </c>
      <c r="M160" s="7" t="s">
        <v>398</v>
      </c>
    </row>
    <row r="161" customFormat="false" ht="46.25" hidden="false" customHeight="false" outlineLevel="0" collapsed="false">
      <c r="A161" s="7" t="s">
        <v>432</v>
      </c>
      <c r="B161" s="8" t="s">
        <v>392</v>
      </c>
      <c r="C161" s="7" t="s">
        <v>393</v>
      </c>
      <c r="D161" s="8" t="s">
        <v>394</v>
      </c>
      <c r="E161" s="8" t="s">
        <v>395</v>
      </c>
      <c r="F161" s="8" t="s">
        <v>433</v>
      </c>
      <c r="G161" s="8" t="s">
        <v>431</v>
      </c>
      <c r="H161" s="7" t="s">
        <v>20</v>
      </c>
      <c r="I161" s="7" t="s">
        <v>28</v>
      </c>
      <c r="J161" s="7" t="s">
        <v>21</v>
      </c>
      <c r="K161" s="7" t="s">
        <v>22</v>
      </c>
      <c r="L161" s="7" t="s">
        <v>22</v>
      </c>
      <c r="M161" s="7" t="s">
        <v>398</v>
      </c>
    </row>
    <row r="162" customFormat="false" ht="35.05" hidden="false" customHeight="false" outlineLevel="0" collapsed="false">
      <c r="A162" s="7" t="s">
        <v>434</v>
      </c>
      <c r="B162" s="8" t="s">
        <v>392</v>
      </c>
      <c r="C162" s="7" t="s">
        <v>393</v>
      </c>
      <c r="D162" s="8" t="s">
        <v>394</v>
      </c>
      <c r="E162" s="8" t="s">
        <v>435</v>
      </c>
      <c r="F162" s="8" t="s">
        <v>436</v>
      </c>
      <c r="G162" s="8" t="s">
        <v>136</v>
      </c>
      <c r="H162" s="7" t="s">
        <v>20</v>
      </c>
      <c r="I162" s="7" t="s">
        <v>28</v>
      </c>
      <c r="J162" s="7" t="s">
        <v>21</v>
      </c>
      <c r="K162" s="7" t="s">
        <v>22</v>
      </c>
      <c r="L162" s="7" t="s">
        <v>22</v>
      </c>
      <c r="M162" s="7" t="s">
        <v>398</v>
      </c>
    </row>
    <row r="163" customFormat="false" ht="35.05" hidden="false" customHeight="false" outlineLevel="0" collapsed="false">
      <c r="A163" s="7" t="s">
        <v>437</v>
      </c>
      <c r="B163" s="8" t="s">
        <v>392</v>
      </c>
      <c r="C163" s="7" t="s">
        <v>393</v>
      </c>
      <c r="D163" s="8" t="s">
        <v>394</v>
      </c>
      <c r="E163" s="8" t="s">
        <v>435</v>
      </c>
      <c r="F163" s="8" t="s">
        <v>438</v>
      </c>
      <c r="G163" s="8" t="s">
        <v>136</v>
      </c>
      <c r="H163" s="7" t="s">
        <v>20</v>
      </c>
      <c r="I163" s="7" t="s">
        <v>28</v>
      </c>
      <c r="J163" s="7" t="s">
        <v>28</v>
      </c>
      <c r="K163" s="7" t="s">
        <v>22</v>
      </c>
      <c r="L163" s="7" t="s">
        <v>22</v>
      </c>
      <c r="M163" s="7" t="s">
        <v>398</v>
      </c>
    </row>
    <row r="164" customFormat="false" ht="35.05" hidden="false" customHeight="false" outlineLevel="0" collapsed="false">
      <c r="A164" s="7" t="s">
        <v>439</v>
      </c>
      <c r="B164" s="8" t="s">
        <v>392</v>
      </c>
      <c r="C164" s="7" t="s">
        <v>393</v>
      </c>
      <c r="D164" s="8" t="s">
        <v>394</v>
      </c>
      <c r="E164" s="8" t="s">
        <v>435</v>
      </c>
      <c r="F164" s="8" t="s">
        <v>440</v>
      </c>
      <c r="G164" s="8" t="s">
        <v>136</v>
      </c>
      <c r="H164" s="7" t="s">
        <v>20</v>
      </c>
      <c r="I164" s="7" t="s">
        <v>28</v>
      </c>
      <c r="J164" s="7" t="s">
        <v>28</v>
      </c>
      <c r="K164" s="7" t="s">
        <v>22</v>
      </c>
      <c r="L164" s="7" t="s">
        <v>22</v>
      </c>
      <c r="M164" s="7" t="s">
        <v>398</v>
      </c>
    </row>
    <row r="165" customFormat="false" ht="35.05" hidden="false" customHeight="false" outlineLevel="0" collapsed="false">
      <c r="A165" s="7" t="s">
        <v>441</v>
      </c>
      <c r="B165" s="8" t="s">
        <v>392</v>
      </c>
      <c r="C165" s="7" t="s">
        <v>393</v>
      </c>
      <c r="D165" s="8" t="s">
        <v>394</v>
      </c>
      <c r="E165" s="8" t="s">
        <v>435</v>
      </c>
      <c r="F165" s="8" t="s">
        <v>442</v>
      </c>
      <c r="G165" s="8" t="s">
        <v>141</v>
      </c>
      <c r="H165" s="7" t="s">
        <v>20</v>
      </c>
      <c r="I165" s="7" t="s">
        <v>28</v>
      </c>
      <c r="J165" s="7" t="s">
        <v>28</v>
      </c>
      <c r="K165" s="7" t="s">
        <v>22</v>
      </c>
      <c r="L165" s="7" t="s">
        <v>22</v>
      </c>
      <c r="M165" s="7" t="s">
        <v>398</v>
      </c>
    </row>
    <row r="166" customFormat="false" ht="23.85" hidden="false" customHeight="false" outlineLevel="0" collapsed="false">
      <c r="A166" s="7" t="s">
        <v>443</v>
      </c>
      <c r="B166" s="8" t="s">
        <v>392</v>
      </c>
      <c r="C166" s="7" t="s">
        <v>393</v>
      </c>
      <c r="D166" s="8" t="s">
        <v>394</v>
      </c>
      <c r="E166" s="8" t="s">
        <v>435</v>
      </c>
      <c r="F166" s="8" t="s">
        <v>444</v>
      </c>
      <c r="G166" s="8" t="s">
        <v>136</v>
      </c>
      <c r="H166" s="7" t="s">
        <v>20</v>
      </c>
      <c r="I166" s="7" t="s">
        <v>28</v>
      </c>
      <c r="J166" s="7" t="s">
        <v>34</v>
      </c>
      <c r="K166" s="7" t="s">
        <v>22</v>
      </c>
      <c r="L166" s="7" t="s">
        <v>22</v>
      </c>
      <c r="M166" s="7" t="s">
        <v>398</v>
      </c>
    </row>
    <row r="167" customFormat="false" ht="35.05" hidden="false" customHeight="false" outlineLevel="0" collapsed="false">
      <c r="A167" s="7" t="s">
        <v>445</v>
      </c>
      <c r="B167" s="8" t="s">
        <v>392</v>
      </c>
      <c r="C167" s="7" t="s">
        <v>393</v>
      </c>
      <c r="D167" s="8" t="s">
        <v>394</v>
      </c>
      <c r="E167" s="8" t="s">
        <v>435</v>
      </c>
      <c r="F167" s="8" t="s">
        <v>446</v>
      </c>
      <c r="G167" s="8" t="s">
        <v>141</v>
      </c>
      <c r="H167" s="7" t="s">
        <v>20</v>
      </c>
      <c r="I167" s="7" t="s">
        <v>28</v>
      </c>
      <c r="J167" s="7" t="s">
        <v>21</v>
      </c>
      <c r="K167" s="7" t="s">
        <v>22</v>
      </c>
      <c r="L167" s="7" t="s">
        <v>22</v>
      </c>
      <c r="M167" s="7" t="s">
        <v>398</v>
      </c>
    </row>
    <row r="168" customFormat="false" ht="35.05" hidden="false" customHeight="false" outlineLevel="0" collapsed="false">
      <c r="A168" s="7" t="s">
        <v>447</v>
      </c>
      <c r="B168" s="8" t="s">
        <v>392</v>
      </c>
      <c r="C168" s="7" t="s">
        <v>393</v>
      </c>
      <c r="D168" s="8" t="s">
        <v>394</v>
      </c>
      <c r="E168" s="8" t="s">
        <v>435</v>
      </c>
      <c r="F168" s="8" t="s">
        <v>448</v>
      </c>
      <c r="G168" s="8" t="s">
        <v>136</v>
      </c>
      <c r="H168" s="7" t="s">
        <v>20</v>
      </c>
      <c r="I168" s="7" t="s">
        <v>28</v>
      </c>
      <c r="J168" s="7" t="s">
        <v>28</v>
      </c>
      <c r="K168" s="7" t="s">
        <v>22</v>
      </c>
      <c r="L168" s="7" t="s">
        <v>22</v>
      </c>
      <c r="M168" s="7" t="s">
        <v>398</v>
      </c>
    </row>
    <row r="169" customFormat="false" ht="23.85" hidden="false" customHeight="false" outlineLevel="0" collapsed="false">
      <c r="A169" s="2" t="s">
        <v>449</v>
      </c>
      <c r="B169" s="3" t="s">
        <v>450</v>
      </c>
      <c r="C169" s="2" t="s">
        <v>15</v>
      </c>
      <c r="D169" s="3" t="s">
        <v>394</v>
      </c>
      <c r="E169" s="3" t="s">
        <v>451</v>
      </c>
      <c r="F169" s="3" t="s">
        <v>452</v>
      </c>
      <c r="G169" s="3" t="s">
        <v>453</v>
      </c>
      <c r="H169" s="2" t="s">
        <v>20</v>
      </c>
      <c r="I169" s="2" t="s">
        <v>28</v>
      </c>
      <c r="J169" s="2" t="s">
        <v>21</v>
      </c>
      <c r="K169" s="2" t="s">
        <v>22</v>
      </c>
      <c r="L169" s="2" t="s">
        <v>22</v>
      </c>
      <c r="M169" s="5" t="s">
        <v>29</v>
      </c>
    </row>
    <row r="170" customFormat="false" ht="35.05" hidden="false" customHeight="false" outlineLevel="0" collapsed="false">
      <c r="A170" s="2" t="s">
        <v>454</v>
      </c>
      <c r="B170" s="3" t="s">
        <v>450</v>
      </c>
      <c r="C170" s="2" t="s">
        <v>15</v>
      </c>
      <c r="D170" s="3" t="s">
        <v>394</v>
      </c>
      <c r="E170" s="3" t="s">
        <v>451</v>
      </c>
      <c r="F170" s="3" t="s">
        <v>455</v>
      </c>
      <c r="G170" s="3" t="s">
        <v>141</v>
      </c>
      <c r="H170" s="2" t="s">
        <v>20</v>
      </c>
      <c r="I170" s="2" t="s">
        <v>28</v>
      </c>
      <c r="J170" s="2" t="s">
        <v>28</v>
      </c>
      <c r="K170" s="2" t="s">
        <v>22</v>
      </c>
      <c r="L170" s="2" t="s">
        <v>22</v>
      </c>
      <c r="M170" s="5" t="s">
        <v>29</v>
      </c>
    </row>
    <row r="171" customFormat="false" ht="23.85" hidden="false" customHeight="false" outlineLevel="0" collapsed="false">
      <c r="A171" s="2" t="s">
        <v>456</v>
      </c>
      <c r="B171" s="3" t="s">
        <v>450</v>
      </c>
      <c r="C171" s="2" t="s">
        <v>15</v>
      </c>
      <c r="D171" s="3" t="s">
        <v>394</v>
      </c>
      <c r="E171" s="3" t="s">
        <v>451</v>
      </c>
      <c r="F171" s="3" t="s">
        <v>457</v>
      </c>
      <c r="G171" s="3" t="s">
        <v>136</v>
      </c>
      <c r="H171" s="2" t="s">
        <v>20</v>
      </c>
      <c r="I171" s="2" t="s">
        <v>28</v>
      </c>
      <c r="J171" s="2" t="s">
        <v>21</v>
      </c>
      <c r="K171" s="2" t="s">
        <v>22</v>
      </c>
      <c r="L171" s="2" t="s">
        <v>22</v>
      </c>
      <c r="M171" s="5" t="s">
        <v>29</v>
      </c>
    </row>
    <row r="172" customFormat="false" ht="35.05" hidden="false" customHeight="false" outlineLevel="0" collapsed="false">
      <c r="A172" s="2" t="s">
        <v>458</v>
      </c>
      <c r="B172" s="3" t="s">
        <v>450</v>
      </c>
      <c r="C172" s="2" t="s">
        <v>15</v>
      </c>
      <c r="D172" s="3" t="s">
        <v>394</v>
      </c>
      <c r="E172" s="3" t="s">
        <v>459</v>
      </c>
      <c r="F172" s="3" t="s">
        <v>460</v>
      </c>
      <c r="G172" s="3" t="s">
        <v>141</v>
      </c>
      <c r="H172" s="2" t="s">
        <v>20</v>
      </c>
      <c r="I172" s="2" t="s">
        <v>28</v>
      </c>
      <c r="J172" s="2" t="s">
        <v>34</v>
      </c>
      <c r="K172" s="2" t="s">
        <v>22</v>
      </c>
      <c r="L172" s="2" t="s">
        <v>22</v>
      </c>
      <c r="M172" s="5" t="s">
        <v>29</v>
      </c>
    </row>
    <row r="173" customFormat="false" ht="35.05" hidden="false" customHeight="false" outlineLevel="0" collapsed="false">
      <c r="A173" s="2" t="s">
        <v>461</v>
      </c>
      <c r="B173" s="3" t="s">
        <v>450</v>
      </c>
      <c r="C173" s="2" t="s">
        <v>15</v>
      </c>
      <c r="D173" s="3" t="s">
        <v>394</v>
      </c>
      <c r="E173" s="3" t="s">
        <v>459</v>
      </c>
      <c r="F173" s="3" t="s">
        <v>462</v>
      </c>
      <c r="G173" s="3" t="s">
        <v>136</v>
      </c>
      <c r="H173" s="2" t="s">
        <v>20</v>
      </c>
      <c r="I173" s="2" t="s">
        <v>34</v>
      </c>
      <c r="J173" s="2" t="s">
        <v>21</v>
      </c>
      <c r="K173" s="2" t="s">
        <v>22</v>
      </c>
      <c r="L173" s="2" t="s">
        <v>22</v>
      </c>
      <c r="M173" s="6" t="s">
        <v>35</v>
      </c>
    </row>
    <row r="174" customFormat="false" ht="23.85" hidden="false" customHeight="false" outlineLevel="0" collapsed="false">
      <c r="A174" s="2" t="s">
        <v>463</v>
      </c>
      <c r="B174" s="3" t="s">
        <v>450</v>
      </c>
      <c r="C174" s="2" t="s">
        <v>15</v>
      </c>
      <c r="D174" s="3" t="s">
        <v>394</v>
      </c>
      <c r="E174" s="3" t="s">
        <v>459</v>
      </c>
      <c r="F174" s="3" t="s">
        <v>464</v>
      </c>
      <c r="G174" s="3" t="s">
        <v>136</v>
      </c>
      <c r="H174" s="2" t="s">
        <v>20</v>
      </c>
      <c r="I174" s="2" t="s">
        <v>28</v>
      </c>
      <c r="J174" s="2" t="s">
        <v>21</v>
      </c>
      <c r="K174" s="2" t="s">
        <v>22</v>
      </c>
      <c r="L174" s="2" t="s">
        <v>22</v>
      </c>
      <c r="M174" s="5" t="s">
        <v>29</v>
      </c>
    </row>
    <row r="175" customFormat="false" ht="35.05" hidden="false" customHeight="false" outlineLevel="0" collapsed="false">
      <c r="A175" s="2" t="s">
        <v>465</v>
      </c>
      <c r="B175" s="3" t="s">
        <v>450</v>
      </c>
      <c r="C175" s="2" t="s">
        <v>15</v>
      </c>
      <c r="D175" s="3" t="s">
        <v>394</v>
      </c>
      <c r="E175" s="3" t="s">
        <v>459</v>
      </c>
      <c r="F175" s="3" t="s">
        <v>466</v>
      </c>
      <c r="G175" s="3" t="s">
        <v>349</v>
      </c>
      <c r="H175" s="2" t="s">
        <v>20</v>
      </c>
      <c r="I175" s="2" t="s">
        <v>34</v>
      </c>
      <c r="J175" s="2" t="s">
        <v>21</v>
      </c>
      <c r="K175" s="2" t="s">
        <v>22</v>
      </c>
      <c r="L175" s="2" t="s">
        <v>22</v>
      </c>
      <c r="M175" s="6" t="s">
        <v>35</v>
      </c>
    </row>
    <row r="176" customFormat="false" ht="35.05" hidden="false" customHeight="false" outlineLevel="0" collapsed="false">
      <c r="A176" s="2" t="s">
        <v>467</v>
      </c>
      <c r="B176" s="3" t="s">
        <v>450</v>
      </c>
      <c r="C176" s="2" t="s">
        <v>15</v>
      </c>
      <c r="D176" s="3" t="s">
        <v>394</v>
      </c>
      <c r="E176" s="3" t="s">
        <v>459</v>
      </c>
      <c r="F176" s="3" t="s">
        <v>468</v>
      </c>
      <c r="G176" s="3" t="s">
        <v>469</v>
      </c>
      <c r="H176" s="2" t="s">
        <v>20</v>
      </c>
      <c r="I176" s="2" t="s">
        <v>28</v>
      </c>
      <c r="J176" s="2" t="s">
        <v>21</v>
      </c>
      <c r="K176" s="2" t="s">
        <v>22</v>
      </c>
      <c r="L176" s="2" t="s">
        <v>22</v>
      </c>
      <c r="M176" s="5" t="s">
        <v>29</v>
      </c>
    </row>
    <row r="177" customFormat="false" ht="35.05" hidden="false" customHeight="false" outlineLevel="0" collapsed="false">
      <c r="A177" s="2" t="s">
        <v>470</v>
      </c>
      <c r="B177" s="3" t="s">
        <v>450</v>
      </c>
      <c r="C177" s="2" t="s">
        <v>15</v>
      </c>
      <c r="D177" s="3" t="s">
        <v>394</v>
      </c>
      <c r="E177" s="3" t="s">
        <v>459</v>
      </c>
      <c r="F177" s="3" t="s">
        <v>471</v>
      </c>
      <c r="G177" s="3" t="s">
        <v>472</v>
      </c>
      <c r="H177" s="2" t="s">
        <v>20</v>
      </c>
      <c r="I177" s="2" t="s">
        <v>34</v>
      </c>
      <c r="J177" s="2" t="s">
        <v>21</v>
      </c>
      <c r="K177" s="2" t="s">
        <v>22</v>
      </c>
      <c r="L177" s="2" t="s">
        <v>22</v>
      </c>
      <c r="M177" s="6" t="s">
        <v>35</v>
      </c>
    </row>
    <row r="178" customFormat="false" ht="35.05" hidden="false" customHeight="false" outlineLevel="0" collapsed="false">
      <c r="A178" s="2" t="s">
        <v>473</v>
      </c>
      <c r="B178" s="3" t="s">
        <v>450</v>
      </c>
      <c r="C178" s="2" t="s">
        <v>15</v>
      </c>
      <c r="D178" s="3" t="s">
        <v>394</v>
      </c>
      <c r="E178" s="3" t="s">
        <v>474</v>
      </c>
      <c r="F178" s="3" t="s">
        <v>475</v>
      </c>
      <c r="G178" s="3" t="s">
        <v>95</v>
      </c>
      <c r="H178" s="2" t="s">
        <v>20</v>
      </c>
      <c r="I178" s="2" t="s">
        <v>34</v>
      </c>
      <c r="J178" s="2" t="s">
        <v>21</v>
      </c>
      <c r="K178" s="2" t="s">
        <v>22</v>
      </c>
      <c r="L178" s="2" t="s">
        <v>22</v>
      </c>
      <c r="M178" s="6" t="s">
        <v>35</v>
      </c>
    </row>
    <row r="179" customFormat="false" ht="35.05" hidden="false" customHeight="false" outlineLevel="0" collapsed="false">
      <c r="A179" s="2" t="s">
        <v>476</v>
      </c>
      <c r="B179" s="3" t="s">
        <v>450</v>
      </c>
      <c r="C179" s="2" t="s">
        <v>15</v>
      </c>
      <c r="D179" s="3" t="s">
        <v>394</v>
      </c>
      <c r="E179" s="3" t="s">
        <v>474</v>
      </c>
      <c r="F179" s="3" t="s">
        <v>477</v>
      </c>
      <c r="G179" s="3" t="s">
        <v>136</v>
      </c>
      <c r="H179" s="2" t="s">
        <v>20</v>
      </c>
      <c r="I179" s="2" t="s">
        <v>34</v>
      </c>
      <c r="J179" s="2" t="s">
        <v>21</v>
      </c>
      <c r="K179" s="2" t="s">
        <v>22</v>
      </c>
      <c r="L179" s="2" t="s">
        <v>22</v>
      </c>
      <c r="M179" s="6" t="s">
        <v>35</v>
      </c>
    </row>
    <row r="180" customFormat="false" ht="35.05" hidden="false" customHeight="false" outlineLevel="0" collapsed="false">
      <c r="A180" s="2" t="s">
        <v>478</v>
      </c>
      <c r="B180" s="3" t="s">
        <v>450</v>
      </c>
      <c r="C180" s="2" t="s">
        <v>15</v>
      </c>
      <c r="D180" s="3" t="s">
        <v>394</v>
      </c>
      <c r="E180" s="3" t="s">
        <v>474</v>
      </c>
      <c r="F180" s="3" t="s">
        <v>479</v>
      </c>
      <c r="G180" s="3" t="s">
        <v>136</v>
      </c>
      <c r="H180" s="2" t="s">
        <v>20</v>
      </c>
      <c r="I180" s="2" t="s">
        <v>21</v>
      </c>
      <c r="J180" s="2" t="s">
        <v>21</v>
      </c>
      <c r="K180" s="2" t="s">
        <v>22</v>
      </c>
      <c r="L180" s="2" t="s">
        <v>22</v>
      </c>
      <c r="M180" s="4" t="s">
        <v>23</v>
      </c>
    </row>
    <row r="181" customFormat="false" ht="35.05" hidden="false" customHeight="false" outlineLevel="0" collapsed="false">
      <c r="A181" s="2" t="s">
        <v>480</v>
      </c>
      <c r="B181" s="3" t="s">
        <v>450</v>
      </c>
      <c r="C181" s="2" t="s">
        <v>15</v>
      </c>
      <c r="D181" s="3" t="s">
        <v>394</v>
      </c>
      <c r="E181" s="3" t="s">
        <v>481</v>
      </c>
      <c r="F181" s="3" t="s">
        <v>482</v>
      </c>
      <c r="G181" s="3" t="s">
        <v>136</v>
      </c>
      <c r="H181" s="2" t="s">
        <v>20</v>
      </c>
      <c r="I181" s="2" t="s">
        <v>34</v>
      </c>
      <c r="J181" s="2" t="s">
        <v>21</v>
      </c>
      <c r="K181" s="2" t="s">
        <v>22</v>
      </c>
      <c r="L181" s="2" t="s">
        <v>22</v>
      </c>
      <c r="M181" s="6" t="s">
        <v>35</v>
      </c>
    </row>
    <row r="182" customFormat="false" ht="35.05" hidden="false" customHeight="false" outlineLevel="0" collapsed="false">
      <c r="A182" s="2" t="s">
        <v>483</v>
      </c>
      <c r="B182" s="3" t="s">
        <v>450</v>
      </c>
      <c r="C182" s="2" t="s">
        <v>15</v>
      </c>
      <c r="D182" s="3" t="s">
        <v>394</v>
      </c>
      <c r="E182" s="3" t="s">
        <v>481</v>
      </c>
      <c r="F182" s="3" t="s">
        <v>484</v>
      </c>
      <c r="G182" s="3" t="s">
        <v>136</v>
      </c>
      <c r="H182" s="2" t="s">
        <v>20</v>
      </c>
      <c r="I182" s="2" t="s">
        <v>34</v>
      </c>
      <c r="J182" s="2" t="s">
        <v>21</v>
      </c>
      <c r="K182" s="2" t="s">
        <v>22</v>
      </c>
      <c r="L182" s="2" t="s">
        <v>22</v>
      </c>
      <c r="M182" s="6" t="s">
        <v>35</v>
      </c>
    </row>
    <row r="183" customFormat="false" ht="35.05" hidden="false" customHeight="false" outlineLevel="0" collapsed="false">
      <c r="A183" s="2" t="s">
        <v>485</v>
      </c>
      <c r="B183" s="3" t="s">
        <v>450</v>
      </c>
      <c r="C183" s="2" t="s">
        <v>15</v>
      </c>
      <c r="D183" s="3" t="s">
        <v>394</v>
      </c>
      <c r="E183" s="3" t="s">
        <v>481</v>
      </c>
      <c r="F183" s="3" t="s">
        <v>486</v>
      </c>
      <c r="G183" s="3" t="s">
        <v>141</v>
      </c>
      <c r="H183" s="2" t="s">
        <v>20</v>
      </c>
      <c r="I183" s="2" t="s">
        <v>34</v>
      </c>
      <c r="J183" s="2" t="s">
        <v>21</v>
      </c>
      <c r="K183" s="2" t="s">
        <v>22</v>
      </c>
      <c r="L183" s="2" t="s">
        <v>22</v>
      </c>
      <c r="M183" s="6" t="s">
        <v>35</v>
      </c>
    </row>
    <row r="184" customFormat="false" ht="35.05" hidden="false" customHeight="false" outlineLevel="0" collapsed="false">
      <c r="A184" s="2" t="s">
        <v>487</v>
      </c>
      <c r="B184" s="3" t="s">
        <v>450</v>
      </c>
      <c r="C184" s="2" t="s">
        <v>15</v>
      </c>
      <c r="D184" s="3" t="s">
        <v>394</v>
      </c>
      <c r="E184" s="3" t="s">
        <v>488</v>
      </c>
      <c r="F184" s="3" t="s">
        <v>489</v>
      </c>
      <c r="G184" s="3" t="s">
        <v>95</v>
      </c>
      <c r="H184" s="2" t="s">
        <v>20</v>
      </c>
      <c r="I184" s="2" t="s">
        <v>28</v>
      </c>
      <c r="J184" s="2" t="s">
        <v>34</v>
      </c>
      <c r="K184" s="2" t="s">
        <v>22</v>
      </c>
      <c r="L184" s="2" t="s">
        <v>22</v>
      </c>
      <c r="M184" s="5" t="s">
        <v>29</v>
      </c>
    </row>
    <row r="185" customFormat="false" ht="23.85" hidden="false" customHeight="false" outlineLevel="0" collapsed="false">
      <c r="A185" s="2" t="s">
        <v>490</v>
      </c>
      <c r="B185" s="3" t="s">
        <v>450</v>
      </c>
      <c r="C185" s="2" t="s">
        <v>15</v>
      </c>
      <c r="D185" s="3" t="s">
        <v>394</v>
      </c>
      <c r="E185" s="3" t="s">
        <v>488</v>
      </c>
      <c r="F185" s="3" t="s">
        <v>491</v>
      </c>
      <c r="G185" s="3" t="s">
        <v>95</v>
      </c>
      <c r="H185" s="2" t="s">
        <v>20</v>
      </c>
      <c r="I185" s="2" t="s">
        <v>34</v>
      </c>
      <c r="J185" s="2" t="s">
        <v>21</v>
      </c>
      <c r="K185" s="2" t="s">
        <v>22</v>
      </c>
      <c r="L185" s="2" t="s">
        <v>22</v>
      </c>
      <c r="M185" s="6" t="s">
        <v>35</v>
      </c>
    </row>
    <row r="186" customFormat="false" ht="23.85" hidden="false" customHeight="false" outlineLevel="0" collapsed="false">
      <c r="A186" s="2" t="s">
        <v>492</v>
      </c>
      <c r="B186" s="3" t="s">
        <v>450</v>
      </c>
      <c r="C186" s="2" t="s">
        <v>15</v>
      </c>
      <c r="D186" s="3" t="s">
        <v>394</v>
      </c>
      <c r="E186" s="3" t="s">
        <v>488</v>
      </c>
      <c r="F186" s="3" t="s">
        <v>493</v>
      </c>
      <c r="G186" s="3" t="s">
        <v>136</v>
      </c>
      <c r="H186" s="2" t="s">
        <v>20</v>
      </c>
      <c r="I186" s="2" t="s">
        <v>28</v>
      </c>
      <c r="J186" s="2" t="s">
        <v>28</v>
      </c>
      <c r="K186" s="2" t="s">
        <v>22</v>
      </c>
      <c r="L186" s="2" t="s">
        <v>22</v>
      </c>
      <c r="M186" s="5" t="s">
        <v>29</v>
      </c>
    </row>
    <row r="187" customFormat="false" ht="35.05" hidden="false" customHeight="false" outlineLevel="0" collapsed="false">
      <c r="A187" s="2" t="s">
        <v>494</v>
      </c>
      <c r="B187" s="3" t="s">
        <v>450</v>
      </c>
      <c r="C187" s="2" t="s">
        <v>15</v>
      </c>
      <c r="D187" s="3" t="s">
        <v>394</v>
      </c>
      <c r="E187" s="3" t="s">
        <v>495</v>
      </c>
      <c r="F187" s="3" t="s">
        <v>496</v>
      </c>
      <c r="G187" s="3" t="s">
        <v>136</v>
      </c>
      <c r="H187" s="2" t="s">
        <v>20</v>
      </c>
      <c r="I187" s="2" t="s">
        <v>28</v>
      </c>
      <c r="J187" s="2" t="s">
        <v>28</v>
      </c>
      <c r="K187" s="2" t="s">
        <v>22</v>
      </c>
      <c r="L187" s="2" t="s">
        <v>22</v>
      </c>
      <c r="M187" s="5" t="s">
        <v>29</v>
      </c>
    </row>
    <row r="188" customFormat="false" ht="35.05" hidden="false" customHeight="false" outlineLevel="0" collapsed="false">
      <c r="A188" s="2" t="s">
        <v>497</v>
      </c>
      <c r="B188" s="3" t="s">
        <v>450</v>
      </c>
      <c r="C188" s="2" t="s">
        <v>15</v>
      </c>
      <c r="D188" s="3" t="s">
        <v>394</v>
      </c>
      <c r="E188" s="3" t="s">
        <v>495</v>
      </c>
      <c r="F188" s="3" t="s">
        <v>498</v>
      </c>
      <c r="G188" s="3" t="s">
        <v>148</v>
      </c>
      <c r="H188" s="2" t="s">
        <v>20</v>
      </c>
      <c r="I188" s="2" t="s">
        <v>34</v>
      </c>
      <c r="J188" s="2" t="s">
        <v>34</v>
      </c>
      <c r="K188" s="2" t="s">
        <v>22</v>
      </c>
      <c r="L188" s="2" t="s">
        <v>22</v>
      </c>
      <c r="M188" s="6" t="s">
        <v>35</v>
      </c>
    </row>
    <row r="189" customFormat="false" ht="35.05" hidden="false" customHeight="false" outlineLevel="0" collapsed="false">
      <c r="A189" s="2" t="s">
        <v>499</v>
      </c>
      <c r="B189" s="3" t="s">
        <v>450</v>
      </c>
      <c r="C189" s="2" t="s">
        <v>15</v>
      </c>
      <c r="D189" s="3" t="s">
        <v>394</v>
      </c>
      <c r="E189" s="3" t="s">
        <v>495</v>
      </c>
      <c r="F189" s="3" t="s">
        <v>500</v>
      </c>
      <c r="G189" s="3" t="s">
        <v>148</v>
      </c>
      <c r="H189" s="2" t="s">
        <v>20</v>
      </c>
      <c r="I189" s="2" t="s">
        <v>21</v>
      </c>
      <c r="J189" s="2" t="s">
        <v>21</v>
      </c>
      <c r="K189" s="2" t="s">
        <v>22</v>
      </c>
      <c r="L189" s="2" t="s">
        <v>22</v>
      </c>
      <c r="M189" s="4" t="s">
        <v>23</v>
      </c>
    </row>
    <row r="190" customFormat="false" ht="23.85" hidden="false" customHeight="false" outlineLevel="0" collapsed="false">
      <c r="A190" s="2" t="s">
        <v>501</v>
      </c>
      <c r="B190" s="3" t="s">
        <v>450</v>
      </c>
      <c r="C190" s="2" t="s">
        <v>15</v>
      </c>
      <c r="D190" s="3" t="s">
        <v>394</v>
      </c>
      <c r="E190" s="3" t="s">
        <v>502</v>
      </c>
      <c r="F190" s="3" t="s">
        <v>503</v>
      </c>
      <c r="G190" s="3" t="s">
        <v>340</v>
      </c>
      <c r="H190" s="2" t="s">
        <v>20</v>
      </c>
      <c r="I190" s="2" t="s">
        <v>34</v>
      </c>
      <c r="J190" s="2" t="s">
        <v>21</v>
      </c>
      <c r="K190" s="2" t="s">
        <v>22</v>
      </c>
      <c r="L190" s="2" t="s">
        <v>22</v>
      </c>
      <c r="M190" s="6" t="s">
        <v>35</v>
      </c>
    </row>
    <row r="191" customFormat="false" ht="35.05" hidden="false" customHeight="false" outlineLevel="0" collapsed="false">
      <c r="A191" s="2" t="s">
        <v>504</v>
      </c>
      <c r="B191" s="3" t="s">
        <v>450</v>
      </c>
      <c r="C191" s="2" t="s">
        <v>15</v>
      </c>
      <c r="D191" s="3" t="s">
        <v>394</v>
      </c>
      <c r="E191" s="3" t="s">
        <v>502</v>
      </c>
      <c r="F191" s="3" t="s">
        <v>505</v>
      </c>
      <c r="G191" s="3" t="s">
        <v>506</v>
      </c>
      <c r="H191" s="2" t="s">
        <v>20</v>
      </c>
      <c r="I191" s="2" t="s">
        <v>28</v>
      </c>
      <c r="J191" s="2" t="s">
        <v>21</v>
      </c>
      <c r="K191" s="2" t="s">
        <v>22</v>
      </c>
      <c r="L191" s="2" t="s">
        <v>22</v>
      </c>
      <c r="M191" s="5" t="s">
        <v>29</v>
      </c>
    </row>
    <row r="192" customFormat="false" ht="35.05" hidden="false" customHeight="false" outlineLevel="0" collapsed="false">
      <c r="A192" s="2" t="s">
        <v>507</v>
      </c>
      <c r="B192" s="3" t="s">
        <v>450</v>
      </c>
      <c r="C192" s="2" t="s">
        <v>15</v>
      </c>
      <c r="D192" s="3" t="s">
        <v>394</v>
      </c>
      <c r="E192" s="3" t="s">
        <v>502</v>
      </c>
      <c r="F192" s="3" t="s">
        <v>508</v>
      </c>
      <c r="G192" s="3" t="s">
        <v>63</v>
      </c>
      <c r="H192" s="2" t="s">
        <v>20</v>
      </c>
      <c r="I192" s="2" t="s">
        <v>28</v>
      </c>
      <c r="J192" s="2" t="s">
        <v>21</v>
      </c>
      <c r="K192" s="2" t="s">
        <v>22</v>
      </c>
      <c r="L192" s="2" t="s">
        <v>22</v>
      </c>
      <c r="M192" s="5" t="s">
        <v>29</v>
      </c>
    </row>
    <row r="193" customFormat="false" ht="35.05" hidden="false" customHeight="false" outlineLevel="0" collapsed="false">
      <c r="A193" s="2" t="s">
        <v>509</v>
      </c>
      <c r="B193" s="3" t="s">
        <v>450</v>
      </c>
      <c r="C193" s="2" t="s">
        <v>15</v>
      </c>
      <c r="D193" s="3" t="s">
        <v>394</v>
      </c>
      <c r="E193" s="3" t="s">
        <v>502</v>
      </c>
      <c r="F193" s="3" t="s">
        <v>510</v>
      </c>
      <c r="G193" s="3" t="s">
        <v>511</v>
      </c>
      <c r="H193" s="2" t="s">
        <v>20</v>
      </c>
      <c r="I193" s="2" t="s">
        <v>28</v>
      </c>
      <c r="J193" s="2" t="s">
        <v>21</v>
      </c>
      <c r="K193" s="2" t="s">
        <v>22</v>
      </c>
      <c r="L193" s="2" t="s">
        <v>22</v>
      </c>
      <c r="M193" s="5" t="s">
        <v>29</v>
      </c>
    </row>
    <row r="194" customFormat="false" ht="35.05" hidden="false" customHeight="false" outlineLevel="0" collapsed="false">
      <c r="A194" s="2" t="s">
        <v>512</v>
      </c>
      <c r="B194" s="3" t="s">
        <v>450</v>
      </c>
      <c r="C194" s="2" t="s">
        <v>15</v>
      </c>
      <c r="D194" s="3" t="s">
        <v>394</v>
      </c>
      <c r="E194" s="3" t="s">
        <v>502</v>
      </c>
      <c r="F194" s="3" t="s">
        <v>513</v>
      </c>
      <c r="G194" s="3" t="s">
        <v>514</v>
      </c>
      <c r="H194" s="2" t="s">
        <v>20</v>
      </c>
      <c r="I194" s="2" t="s">
        <v>28</v>
      </c>
      <c r="J194" s="2" t="s">
        <v>21</v>
      </c>
      <c r="K194" s="2" t="s">
        <v>22</v>
      </c>
      <c r="L194" s="2" t="s">
        <v>22</v>
      </c>
      <c r="M194" s="5" t="s">
        <v>29</v>
      </c>
    </row>
    <row r="195" customFormat="false" ht="35.05" hidden="false" customHeight="false" outlineLevel="0" collapsed="false">
      <c r="A195" s="2" t="s">
        <v>515</v>
      </c>
      <c r="B195" s="3" t="s">
        <v>450</v>
      </c>
      <c r="C195" s="2" t="s">
        <v>15</v>
      </c>
      <c r="D195" s="3" t="s">
        <v>394</v>
      </c>
      <c r="E195" s="3" t="s">
        <v>502</v>
      </c>
      <c r="F195" s="3" t="s">
        <v>516</v>
      </c>
      <c r="G195" s="3" t="s">
        <v>506</v>
      </c>
      <c r="H195" s="2" t="s">
        <v>20</v>
      </c>
      <c r="I195" s="2" t="s">
        <v>28</v>
      </c>
      <c r="J195" s="2" t="s">
        <v>21</v>
      </c>
      <c r="K195" s="2" t="s">
        <v>22</v>
      </c>
      <c r="L195" s="2" t="s">
        <v>22</v>
      </c>
      <c r="M195" s="5" t="s">
        <v>29</v>
      </c>
    </row>
    <row r="196" customFormat="false" ht="35.05" hidden="false" customHeight="false" outlineLevel="0" collapsed="false">
      <c r="A196" s="2" t="s">
        <v>517</v>
      </c>
      <c r="B196" s="3" t="s">
        <v>450</v>
      </c>
      <c r="C196" s="2" t="s">
        <v>15</v>
      </c>
      <c r="D196" s="3" t="s">
        <v>394</v>
      </c>
      <c r="E196" s="3" t="s">
        <v>502</v>
      </c>
      <c r="F196" s="3" t="s">
        <v>518</v>
      </c>
      <c r="G196" s="3" t="s">
        <v>340</v>
      </c>
      <c r="H196" s="2" t="s">
        <v>20</v>
      </c>
      <c r="I196" s="2" t="s">
        <v>28</v>
      </c>
      <c r="J196" s="2" t="s">
        <v>21</v>
      </c>
      <c r="K196" s="2" t="s">
        <v>22</v>
      </c>
      <c r="L196" s="2" t="s">
        <v>22</v>
      </c>
      <c r="M196" s="5" t="s">
        <v>29</v>
      </c>
    </row>
    <row r="197" customFormat="false" ht="23.85" hidden="false" customHeight="false" outlineLevel="0" collapsed="false">
      <c r="A197" s="2" t="s">
        <v>519</v>
      </c>
      <c r="B197" s="3" t="s">
        <v>450</v>
      </c>
      <c r="C197" s="2" t="s">
        <v>15</v>
      </c>
      <c r="D197" s="3" t="s">
        <v>394</v>
      </c>
      <c r="E197" s="3" t="s">
        <v>520</v>
      </c>
      <c r="F197" s="3" t="s">
        <v>521</v>
      </c>
      <c r="G197" s="3" t="s">
        <v>63</v>
      </c>
      <c r="H197" s="2" t="s">
        <v>20</v>
      </c>
      <c r="I197" s="2" t="s">
        <v>34</v>
      </c>
      <c r="J197" s="2" t="s">
        <v>21</v>
      </c>
      <c r="K197" s="2" t="s">
        <v>22</v>
      </c>
      <c r="L197" s="2" t="s">
        <v>22</v>
      </c>
      <c r="M197" s="6" t="s">
        <v>35</v>
      </c>
    </row>
    <row r="198" customFormat="false" ht="35.05" hidden="false" customHeight="false" outlineLevel="0" collapsed="false">
      <c r="A198" s="2" t="s">
        <v>522</v>
      </c>
      <c r="B198" s="3" t="s">
        <v>450</v>
      </c>
      <c r="C198" s="2" t="s">
        <v>15</v>
      </c>
      <c r="D198" s="3" t="s">
        <v>394</v>
      </c>
      <c r="E198" s="3" t="s">
        <v>520</v>
      </c>
      <c r="F198" s="3" t="s">
        <v>523</v>
      </c>
      <c r="G198" s="3" t="s">
        <v>511</v>
      </c>
      <c r="H198" s="2" t="s">
        <v>20</v>
      </c>
      <c r="I198" s="2" t="s">
        <v>28</v>
      </c>
      <c r="J198" s="2" t="s">
        <v>34</v>
      </c>
      <c r="K198" s="2" t="s">
        <v>22</v>
      </c>
      <c r="L198" s="2" t="s">
        <v>22</v>
      </c>
      <c r="M198" s="5" t="s">
        <v>29</v>
      </c>
    </row>
    <row r="199" customFormat="false" ht="35.05" hidden="false" customHeight="false" outlineLevel="0" collapsed="false">
      <c r="A199" s="2" t="s">
        <v>524</v>
      </c>
      <c r="B199" s="3" t="s">
        <v>450</v>
      </c>
      <c r="C199" s="2" t="s">
        <v>15</v>
      </c>
      <c r="D199" s="3" t="s">
        <v>394</v>
      </c>
      <c r="E199" s="3" t="s">
        <v>520</v>
      </c>
      <c r="F199" s="3" t="s">
        <v>525</v>
      </c>
      <c r="G199" s="3" t="s">
        <v>349</v>
      </c>
      <c r="H199" s="2" t="s">
        <v>20</v>
      </c>
      <c r="I199" s="2" t="s">
        <v>28</v>
      </c>
      <c r="J199" s="2" t="s">
        <v>34</v>
      </c>
      <c r="K199" s="2" t="s">
        <v>22</v>
      </c>
      <c r="L199" s="2" t="s">
        <v>22</v>
      </c>
      <c r="M199" s="5" t="s">
        <v>29</v>
      </c>
    </row>
    <row r="200" customFormat="false" ht="23.85" hidden="false" customHeight="false" outlineLevel="0" collapsed="false">
      <c r="A200" s="2" t="s">
        <v>526</v>
      </c>
      <c r="B200" s="3" t="s">
        <v>450</v>
      </c>
      <c r="C200" s="2" t="s">
        <v>15</v>
      </c>
      <c r="D200" s="3" t="s">
        <v>394</v>
      </c>
      <c r="E200" s="3" t="s">
        <v>520</v>
      </c>
      <c r="F200" s="3" t="s">
        <v>527</v>
      </c>
      <c r="G200" s="3" t="s">
        <v>528</v>
      </c>
      <c r="H200" s="2" t="s">
        <v>20</v>
      </c>
      <c r="I200" s="2" t="s">
        <v>28</v>
      </c>
      <c r="J200" s="2" t="s">
        <v>34</v>
      </c>
      <c r="K200" s="2" t="s">
        <v>22</v>
      </c>
      <c r="L200" s="2" t="s">
        <v>22</v>
      </c>
      <c r="M200" s="5" t="s">
        <v>29</v>
      </c>
    </row>
  </sheetData>
  <autoFilter ref="A1:M20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2"/>
    <col collapsed="false" customWidth="true" hidden="false" outlineLevel="0" max="3" min="3" style="0" width="11"/>
    <col collapsed="false" customWidth="true" hidden="false" outlineLevel="0" max="4" min="4" style="0" width="15"/>
    <col collapsed="false" customWidth="true" hidden="false" outlineLevel="0" max="5" min="5" style="0" width="18"/>
    <col collapsed="false" customWidth="true" hidden="false" outlineLevel="0" max="6" min="6" style="0" width="13"/>
    <col collapsed="false" customWidth="true" hidden="false" outlineLevel="0" max="7" min="7" style="0" width="2"/>
    <col collapsed="false" customWidth="true" hidden="false" outlineLevel="0" max="8" min="8" style="0" width="26"/>
    <col collapsed="false" customWidth="true" hidden="false" outlineLevel="0" max="9" min="9" style="0" width="10"/>
  </cols>
  <sheetData>
    <row r="1" customFormat="false" ht="30" hidden="false" customHeight="true" outlineLevel="0" collapsed="false">
      <c r="A1" s="1" t="s">
        <v>1</v>
      </c>
      <c r="B1" s="1" t="s">
        <v>529</v>
      </c>
      <c r="C1" s="1" t="s">
        <v>530</v>
      </c>
      <c r="D1" s="1" t="s">
        <v>531</v>
      </c>
      <c r="E1" s="1" t="s">
        <v>532</v>
      </c>
      <c r="F1" s="1" t="s">
        <v>533</v>
      </c>
      <c r="H1" s="9" t="s">
        <v>534</v>
      </c>
    </row>
    <row r="2" customFormat="false" ht="15" hidden="false" customHeight="false" outlineLevel="0" collapsed="false">
      <c r="A2" s="10" t="s">
        <v>14</v>
      </c>
      <c r="B2" s="10" t="s">
        <v>15</v>
      </c>
      <c r="C2" s="10" t="n">
        <f aca="false">COUNTIF('Matriz de Trazabilidad'!$B$2:$B$200,$A2)</f>
        <v>51</v>
      </c>
      <c r="D2" s="10" t="n">
        <f aca="false">COUNTIFS('Matriz de Trazabilidad'!$B$2:$B$200,$A2,'Matriz de Trazabilidad'!$I$2:$I$200,"Alta")</f>
        <v>26</v>
      </c>
      <c r="E2" s="10" t="n">
        <f aca="false">COUNTIFS('Matriz de Trazabilidad'!$B$2:$B$200,$A2,'Matriz de Trazabilidad'!$I$2:$I$200,"Moderada")</f>
        <v>16</v>
      </c>
      <c r="F2" s="10" t="n">
        <f aca="false">COUNTIFS('Matriz de Trazabilidad'!$B$2:$B$200,$A2,'Matriz de Trazabilidad'!$I$2:$I$200,"Baja")</f>
        <v>9</v>
      </c>
      <c r="H2" s="10" t="s">
        <v>29</v>
      </c>
      <c r="I2" s="10" t="n">
        <f aca="false">COUNTIF('Matriz de Trazabilidad'!$M$2:$M$200,$H2)</f>
        <v>123</v>
      </c>
    </row>
    <row r="3" customFormat="false" ht="15" hidden="false" customHeight="false" outlineLevel="0" collapsed="false">
      <c r="A3" s="10" t="s">
        <v>154</v>
      </c>
      <c r="B3" s="10" t="s">
        <v>15</v>
      </c>
      <c r="C3" s="10" t="n">
        <f aca="false">COUNTIF('Matriz de Trazabilidad'!$B$2:$B$200,$A3)</f>
        <v>55</v>
      </c>
      <c r="D3" s="10" t="n">
        <f aca="false">COUNTIFS('Matriz de Trazabilidad'!$B$2:$B$200,$A3,'Matriz de Trazabilidad'!$I$2:$I$200,"Alta")</f>
        <v>40</v>
      </c>
      <c r="E3" s="10" t="n">
        <f aca="false">COUNTIFS('Matriz de Trazabilidad'!$B$2:$B$200,$A3,'Matriz de Trazabilidad'!$I$2:$I$200,"Moderada")</f>
        <v>11</v>
      </c>
      <c r="F3" s="10" t="n">
        <f aca="false">COUNTIFS('Matriz de Trazabilidad'!$B$2:$B$200,$A3,'Matriz de Trazabilidad'!$I$2:$I$200,"Baja")</f>
        <v>4</v>
      </c>
      <c r="H3" s="10" t="s">
        <v>35</v>
      </c>
      <c r="I3" s="10" t="n">
        <f aca="false">COUNTIF('Matriz de Trazabilidad'!$M$2:$M$200,$H3)</f>
        <v>39</v>
      </c>
    </row>
    <row r="4" customFormat="false" ht="15" hidden="false" customHeight="false" outlineLevel="0" collapsed="false">
      <c r="A4" s="10" t="s">
        <v>285</v>
      </c>
      <c r="B4" s="10" t="s">
        <v>15</v>
      </c>
      <c r="C4" s="10" t="n">
        <f aca="false">COUNTIF('Matriz de Trazabilidad'!$B$2:$B$200,$A4)</f>
        <v>8</v>
      </c>
      <c r="D4" s="10" t="n">
        <f aca="false">COUNTIFS('Matriz de Trazabilidad'!$B$2:$B$200,$A4,'Matriz de Trazabilidad'!$I$2:$I$200,"Alta")</f>
        <v>7</v>
      </c>
      <c r="E4" s="10" t="n">
        <f aca="false">COUNTIFS('Matriz de Trazabilidad'!$B$2:$B$200,$A4,'Matriz de Trazabilidad'!$I$2:$I$200,"Moderada")</f>
        <v>1</v>
      </c>
      <c r="F4" s="10" t="n">
        <f aca="false">COUNTIFS('Matriz de Trazabilidad'!$B$2:$B$200,$A4,'Matriz de Trazabilidad'!$I$2:$I$200,"Baja")</f>
        <v>0</v>
      </c>
      <c r="H4" s="10" t="s">
        <v>23</v>
      </c>
      <c r="I4" s="10" t="n">
        <f aca="false">COUNTIF('Matriz de Trazabilidad'!$M$2:$M$200,$H4)</f>
        <v>15</v>
      </c>
    </row>
    <row r="5" customFormat="false" ht="15" hidden="false" customHeight="false" outlineLevel="0" collapsed="false">
      <c r="A5" s="10" t="s">
        <v>311</v>
      </c>
      <c r="B5" s="10" t="s">
        <v>15</v>
      </c>
      <c r="C5" s="10" t="n">
        <f aca="false">COUNTIF('Matriz de Trazabilidad'!$B$2:$B$200,$A5)</f>
        <v>25</v>
      </c>
      <c r="D5" s="10" t="n">
        <f aca="false">COUNTIFS('Matriz de Trazabilidad'!$B$2:$B$200,$A5,'Matriz de Trazabilidad'!$I$2:$I$200,"Alta")</f>
        <v>25</v>
      </c>
      <c r="E5" s="10" t="n">
        <f aca="false">COUNTIFS('Matriz de Trazabilidad'!$B$2:$B$200,$A5,'Matriz de Trazabilidad'!$I$2:$I$200,"Moderada")</f>
        <v>0</v>
      </c>
      <c r="F5" s="10" t="n">
        <f aca="false">COUNTIFS('Matriz de Trazabilidad'!$B$2:$B$200,$A5,'Matriz de Trazabilidad'!$I$2:$I$200,"Baja")</f>
        <v>0</v>
      </c>
      <c r="H5" s="10" t="s">
        <v>398</v>
      </c>
      <c r="I5" s="10" t="n">
        <f aca="false">COUNTIF('Matriz de Trazabilidad'!$M$2:$M$200,$H5)</f>
        <v>22</v>
      </c>
    </row>
    <row r="6" customFormat="false" ht="15" hidden="false" customHeight="false" outlineLevel="0" collapsed="false">
      <c r="A6" s="10" t="s">
        <v>373</v>
      </c>
      <c r="B6" s="10" t="s">
        <v>15</v>
      </c>
      <c r="C6" s="10" t="n">
        <f aca="false">COUNTIF('Matriz de Trazabilidad'!$B$2:$B$200,$A6)</f>
        <v>6</v>
      </c>
      <c r="D6" s="10" t="n">
        <f aca="false">COUNTIFS('Matriz de Trazabilidad'!$B$2:$B$200,$A6,'Matriz de Trazabilidad'!$I$2:$I$200,"Alta")</f>
        <v>5</v>
      </c>
      <c r="E6" s="10" t="n">
        <f aca="false">COUNTIFS('Matriz de Trazabilidad'!$B$2:$B$200,$A6,'Matriz de Trazabilidad'!$I$2:$I$200,"Moderada")</f>
        <v>1</v>
      </c>
      <c r="F6" s="10" t="n">
        <f aca="false">COUNTIFS('Matriz de Trazabilidad'!$B$2:$B$200,$A6,'Matriz de Trazabilidad'!$I$2:$I$200,"Baja")</f>
        <v>0</v>
      </c>
      <c r="H6" s="11" t="s">
        <v>535</v>
      </c>
      <c r="I6" s="11" t="n">
        <f aca="false">SUM(I2:I5)</f>
        <v>199</v>
      </c>
    </row>
    <row r="7" customFormat="false" ht="15" hidden="false" customHeight="false" outlineLevel="0" collapsed="false">
      <c r="A7" s="10" t="s">
        <v>536</v>
      </c>
      <c r="B7" s="10" t="s">
        <v>393</v>
      </c>
      <c r="C7" s="10" t="n">
        <f aca="false">COUNTIF('Matriz de Trazabilidad'!$B$2:$B$200,$A7)</f>
        <v>0</v>
      </c>
      <c r="D7" s="10" t="n">
        <f aca="false">COUNTIFS('Matriz de Trazabilidad'!$B$2:$B$200,$A7,'Matriz de Trazabilidad'!$I$2:$I$200,"Alta")</f>
        <v>0</v>
      </c>
      <c r="E7" s="10" t="n">
        <f aca="false">COUNTIFS('Matriz de Trazabilidad'!$B$2:$B$200,$A7,'Matriz de Trazabilidad'!$I$2:$I$200,"Moderada")</f>
        <v>0</v>
      </c>
      <c r="F7" s="10" t="n">
        <f aca="false">COUNTIFS('Matriz de Trazabilidad'!$B$2:$B$200,$A7,'Matriz de Trazabilidad'!$I$2:$I$200,"Baja")</f>
        <v>0</v>
      </c>
    </row>
    <row r="8" customFormat="false" ht="15" hidden="false" customHeight="false" outlineLevel="0" collapsed="false">
      <c r="A8" s="10" t="s">
        <v>537</v>
      </c>
      <c r="B8" s="10" t="s">
        <v>393</v>
      </c>
      <c r="C8" s="10" t="n">
        <f aca="false">COUNTIF('Matriz de Trazabilidad'!$B$2:$B$200,$A8)</f>
        <v>0</v>
      </c>
      <c r="D8" s="10" t="n">
        <f aca="false">COUNTIFS('Matriz de Trazabilidad'!$B$2:$B$200,$A8,'Matriz de Trazabilidad'!$I$2:$I$200,"Alta")</f>
        <v>0</v>
      </c>
      <c r="E8" s="10" t="n">
        <f aca="false">COUNTIFS('Matriz de Trazabilidad'!$B$2:$B$200,$A8,'Matriz de Trazabilidad'!$I$2:$I$200,"Moderada")</f>
        <v>0</v>
      </c>
      <c r="F8" s="10" t="n">
        <f aca="false">COUNTIFS('Matriz de Trazabilidad'!$B$2:$B$200,$A8,'Matriz de Trazabilidad'!$I$2:$I$200,"Baja")</f>
        <v>0</v>
      </c>
    </row>
    <row r="9" customFormat="false" ht="15" hidden="false" customHeight="false" outlineLevel="0" collapsed="false">
      <c r="A9" s="10" t="s">
        <v>392</v>
      </c>
      <c r="B9" s="10" t="s">
        <v>393</v>
      </c>
      <c r="C9" s="10" t="n">
        <f aca="false">COUNTIF('Matriz de Trazabilidad'!$B$2:$B$200,$A9)</f>
        <v>22</v>
      </c>
      <c r="D9" s="10" t="n">
        <f aca="false">COUNTIFS('Matriz de Trazabilidad'!$B$2:$B$200,$A9,'Matriz de Trazabilidad'!$I$2:$I$200,"Alta")</f>
        <v>20</v>
      </c>
      <c r="E9" s="10" t="n">
        <f aca="false">COUNTIFS('Matriz de Trazabilidad'!$B$2:$B$200,$A9,'Matriz de Trazabilidad'!$I$2:$I$200,"Moderada")</f>
        <v>2</v>
      </c>
      <c r="F9" s="10" t="n">
        <f aca="false">COUNTIFS('Matriz de Trazabilidad'!$B$2:$B$200,$A9,'Matriz de Trazabilidad'!$I$2:$I$200,"Baja")</f>
        <v>0</v>
      </c>
    </row>
    <row r="10" customFormat="false" ht="15" hidden="false" customHeight="false" outlineLevel="0" collapsed="false">
      <c r="A10" s="10" t="s">
        <v>450</v>
      </c>
      <c r="B10" s="10" t="s">
        <v>15</v>
      </c>
      <c r="C10" s="10" t="n">
        <f aca="false">COUNTIF('Matriz de Trazabilidad'!$B$2:$B$200,$A10)</f>
        <v>32</v>
      </c>
      <c r="D10" s="10" t="n">
        <f aca="false">COUNTIFS('Matriz de Trazabilidad'!$B$2:$B$200,$A10,'Matriz de Trazabilidad'!$I$2:$I$200,"Alta")</f>
        <v>18</v>
      </c>
      <c r="E10" s="10" t="n">
        <f aca="false">COUNTIFS('Matriz de Trazabilidad'!$B$2:$B$200,$A10,'Matriz de Trazabilidad'!$I$2:$I$200,"Moderada")</f>
        <v>12</v>
      </c>
      <c r="F10" s="10" t="n">
        <f aca="false">COUNTIFS('Matriz de Trazabilidad'!$B$2:$B$200,$A10,'Matriz de Trazabilidad'!$I$2:$I$200,"Baja")</f>
        <v>2</v>
      </c>
    </row>
    <row r="11" customFormat="false" ht="15" hidden="false" customHeight="false" outlineLevel="0" collapsed="false">
      <c r="A11" s="11" t="s">
        <v>535</v>
      </c>
      <c r="C11" s="11" t="n">
        <f aca="false">SUM(C2:C10)</f>
        <v>199</v>
      </c>
      <c r="D11" s="11" t="n">
        <f aca="false">SUM(D2:D10)</f>
        <v>141</v>
      </c>
      <c r="E11" s="11" t="n">
        <f aca="false">SUM(E2:E10)</f>
        <v>43</v>
      </c>
      <c r="F11" s="11" t="n">
        <f aca="false">SUM(F2:F10)</f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55"/>
    <col collapsed="false" customWidth="true" hidden="false" outlineLevel="0" max="3" min="3" style="0" width="11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60"/>
  </cols>
  <sheetData>
    <row r="1" customFormat="false" ht="27.75" hidden="false" customHeight="true" outlineLevel="0" collapsed="false">
      <c r="A1" s="1" t="s">
        <v>538</v>
      </c>
      <c r="B1" s="1" t="s">
        <v>539</v>
      </c>
      <c r="C1" s="1" t="s">
        <v>8</v>
      </c>
      <c r="D1" s="1" t="s">
        <v>7</v>
      </c>
      <c r="E1" s="1" t="s">
        <v>540</v>
      </c>
      <c r="F1" s="1" t="s">
        <v>541</v>
      </c>
    </row>
    <row r="2" customFormat="false" ht="68.65" hidden="false" customHeight="false" outlineLevel="0" collapsed="false">
      <c r="A2" s="2" t="s">
        <v>542</v>
      </c>
      <c r="B2" s="3" t="s">
        <v>543</v>
      </c>
      <c r="C2" s="2" t="s">
        <v>28</v>
      </c>
      <c r="D2" s="2" t="s">
        <v>20</v>
      </c>
      <c r="E2" s="2" t="n">
        <v>44</v>
      </c>
      <c r="F2" s="3" t="s">
        <v>544</v>
      </c>
    </row>
    <row r="3" customFormat="false" ht="57.45" hidden="false" customHeight="false" outlineLevel="0" collapsed="false">
      <c r="A3" s="2" t="s">
        <v>545</v>
      </c>
      <c r="B3" s="3" t="s">
        <v>546</v>
      </c>
      <c r="C3" s="2" t="s">
        <v>28</v>
      </c>
      <c r="D3" s="2" t="s">
        <v>20</v>
      </c>
      <c r="E3" s="2" t="n">
        <v>36</v>
      </c>
      <c r="F3" s="3" t="s">
        <v>547</v>
      </c>
    </row>
    <row r="4" customFormat="false" ht="214.15" hidden="false" customHeight="false" outlineLevel="0" collapsed="false">
      <c r="A4" s="2" t="s">
        <v>548</v>
      </c>
      <c r="B4" s="3" t="s">
        <v>549</v>
      </c>
      <c r="C4" s="2" t="s">
        <v>28</v>
      </c>
      <c r="D4" s="2" t="s">
        <v>20</v>
      </c>
      <c r="E4" s="2" t="n">
        <v>148</v>
      </c>
      <c r="F4" s="3" t="s">
        <v>550</v>
      </c>
    </row>
    <row r="5" customFormat="false" ht="35.05" hidden="false" customHeight="false" outlineLevel="0" collapsed="false">
      <c r="A5" s="2" t="s">
        <v>551</v>
      </c>
      <c r="B5" s="3" t="s">
        <v>552</v>
      </c>
      <c r="C5" s="2" t="s">
        <v>34</v>
      </c>
      <c r="D5" s="2" t="s">
        <v>20</v>
      </c>
      <c r="E5" s="2" t="n">
        <v>19</v>
      </c>
      <c r="F5" s="3" t="s">
        <v>553</v>
      </c>
    </row>
    <row r="6" customFormat="false" ht="35.05" hidden="false" customHeight="false" outlineLevel="0" collapsed="false">
      <c r="A6" s="2" t="s">
        <v>554</v>
      </c>
      <c r="B6" s="3" t="s">
        <v>555</v>
      </c>
      <c r="C6" s="2" t="s">
        <v>34</v>
      </c>
      <c r="D6" s="2" t="s">
        <v>20</v>
      </c>
      <c r="E6" s="2" t="n">
        <v>1</v>
      </c>
      <c r="F6" s="3" t="s">
        <v>67</v>
      </c>
    </row>
    <row r="7" customFormat="false" ht="46.25" hidden="false" customHeight="false" outlineLevel="0" collapsed="false">
      <c r="A7" s="2" t="s">
        <v>556</v>
      </c>
      <c r="B7" s="3" t="s">
        <v>557</v>
      </c>
      <c r="C7" s="2" t="s">
        <v>28</v>
      </c>
      <c r="D7" s="2" t="s">
        <v>20</v>
      </c>
      <c r="E7" s="2" t="n">
        <v>7</v>
      </c>
      <c r="F7" s="3" t="s">
        <v>558</v>
      </c>
    </row>
    <row r="8" customFormat="false" ht="35.05" hidden="false" customHeight="false" outlineLevel="0" collapsed="false">
      <c r="A8" s="2" t="s">
        <v>559</v>
      </c>
      <c r="B8" s="3" t="s">
        <v>560</v>
      </c>
      <c r="C8" s="2" t="s">
        <v>28</v>
      </c>
      <c r="D8" s="2" t="s">
        <v>20</v>
      </c>
      <c r="E8" s="2" t="n">
        <v>1</v>
      </c>
      <c r="F8" s="3" t="s">
        <v>54</v>
      </c>
    </row>
    <row r="9" customFormat="false" ht="57.45" hidden="false" customHeight="false" outlineLevel="0" collapsed="false">
      <c r="A9" s="2" t="s">
        <v>561</v>
      </c>
      <c r="B9" s="3" t="s">
        <v>562</v>
      </c>
      <c r="C9" s="2" t="s">
        <v>34</v>
      </c>
      <c r="D9" s="2" t="s">
        <v>20</v>
      </c>
      <c r="E9" s="2" t="n">
        <v>2</v>
      </c>
      <c r="F9" s="3" t="s">
        <v>563</v>
      </c>
    </row>
    <row r="10" customFormat="false" ht="46.25" hidden="false" customHeight="false" outlineLevel="0" collapsed="false">
      <c r="A10" s="2" t="s">
        <v>564</v>
      </c>
      <c r="B10" s="3" t="s">
        <v>565</v>
      </c>
      <c r="C10" s="2" t="s">
        <v>28</v>
      </c>
      <c r="D10" s="2" t="s">
        <v>20</v>
      </c>
      <c r="E10" s="2" t="n">
        <v>23</v>
      </c>
      <c r="F10" s="3" t="s">
        <v>566</v>
      </c>
    </row>
    <row r="11" customFormat="false" ht="57.45" hidden="false" customHeight="false" outlineLevel="0" collapsed="false">
      <c r="A11" s="2" t="s">
        <v>567</v>
      </c>
      <c r="B11" s="3" t="s">
        <v>568</v>
      </c>
      <c r="C11" s="2" t="s">
        <v>28</v>
      </c>
      <c r="D11" s="2" t="s">
        <v>20</v>
      </c>
      <c r="E11" s="2" t="n">
        <v>3</v>
      </c>
      <c r="F11" s="3" t="s">
        <v>569</v>
      </c>
    </row>
    <row r="12" customFormat="false" ht="225.35" hidden="false" customHeight="false" outlineLevel="0" collapsed="false">
      <c r="A12" s="2" t="s">
        <v>570</v>
      </c>
      <c r="B12" s="3" t="s">
        <v>571</v>
      </c>
      <c r="C12" s="2" t="s">
        <v>28</v>
      </c>
      <c r="D12" s="2" t="s">
        <v>20</v>
      </c>
      <c r="E12" s="2" t="n">
        <v>159</v>
      </c>
      <c r="F12" s="3" t="s">
        <v>572</v>
      </c>
    </row>
    <row r="13" customFormat="false" ht="68.65" hidden="false" customHeight="false" outlineLevel="0" collapsed="false">
      <c r="A13" s="2" t="s">
        <v>573</v>
      </c>
      <c r="B13" s="3" t="s">
        <v>574</v>
      </c>
      <c r="C13" s="2" t="s">
        <v>28</v>
      </c>
      <c r="D13" s="2" t="s">
        <v>20</v>
      </c>
      <c r="E13" s="2" t="n">
        <v>43</v>
      </c>
      <c r="F13" s="3" t="s">
        <v>575</v>
      </c>
    </row>
    <row r="14" customFormat="false" ht="135.8" hidden="false" customHeight="false" outlineLevel="0" collapsed="false">
      <c r="A14" s="2" t="s">
        <v>292</v>
      </c>
      <c r="B14" s="3" t="s">
        <v>576</v>
      </c>
      <c r="C14" s="2" t="s">
        <v>28</v>
      </c>
      <c r="D14" s="2" t="s">
        <v>20</v>
      </c>
      <c r="E14" s="2" t="n">
        <v>94</v>
      </c>
      <c r="F14" s="3" t="s">
        <v>577</v>
      </c>
    </row>
    <row r="15" customFormat="false" ht="57.45" hidden="false" customHeight="false" outlineLevel="0" collapsed="false">
      <c r="A15" s="2" t="s">
        <v>578</v>
      </c>
      <c r="B15" s="3" t="s">
        <v>579</v>
      </c>
      <c r="C15" s="2" t="s">
        <v>28</v>
      </c>
      <c r="D15" s="2" t="s">
        <v>20</v>
      </c>
      <c r="E15" s="2" t="n">
        <v>32</v>
      </c>
      <c r="F15" s="3" t="s">
        <v>580</v>
      </c>
    </row>
    <row r="16" customFormat="false" ht="135.8" hidden="false" customHeight="false" outlineLevel="0" collapsed="false">
      <c r="A16" s="2" t="s">
        <v>581</v>
      </c>
      <c r="B16" s="3" t="s">
        <v>582</v>
      </c>
      <c r="C16" s="2" t="s">
        <v>28</v>
      </c>
      <c r="D16" s="2" t="s">
        <v>20</v>
      </c>
      <c r="E16" s="2" t="n">
        <v>95</v>
      </c>
      <c r="F16" s="3" t="s">
        <v>583</v>
      </c>
    </row>
    <row r="17" customFormat="false" ht="46.25" hidden="false" customHeight="false" outlineLevel="0" collapsed="false">
      <c r="A17" s="2" t="s">
        <v>584</v>
      </c>
      <c r="B17" s="3" t="s">
        <v>585</v>
      </c>
      <c r="C17" s="2" t="s">
        <v>28</v>
      </c>
      <c r="D17" s="2" t="s">
        <v>20</v>
      </c>
      <c r="E17" s="2" t="n">
        <v>1</v>
      </c>
      <c r="F17" s="3" t="s">
        <v>233</v>
      </c>
    </row>
    <row r="18" customFormat="false" ht="46.25" hidden="false" customHeight="false" outlineLevel="0" collapsed="false">
      <c r="A18" s="2" t="s">
        <v>586</v>
      </c>
      <c r="B18" s="3" t="s">
        <v>587</v>
      </c>
      <c r="C18" s="2" t="s">
        <v>28</v>
      </c>
      <c r="D18" s="2" t="s">
        <v>20</v>
      </c>
      <c r="E18" s="2" t="n">
        <v>1</v>
      </c>
      <c r="F18" s="3" t="s">
        <v>233</v>
      </c>
    </row>
    <row r="19" customFormat="false" ht="46.25" hidden="false" customHeight="false" outlineLevel="0" collapsed="false">
      <c r="A19" s="2" t="s">
        <v>588</v>
      </c>
      <c r="B19" s="3" t="s">
        <v>589</v>
      </c>
      <c r="C19" s="2" t="s">
        <v>34</v>
      </c>
      <c r="D19" s="2" t="s">
        <v>20</v>
      </c>
      <c r="E19" s="2" t="n">
        <v>2</v>
      </c>
      <c r="F19" s="3" t="s">
        <v>590</v>
      </c>
    </row>
    <row r="20" customFormat="false" ht="46.25" hidden="false" customHeight="false" outlineLevel="0" collapsed="false">
      <c r="A20" s="2" t="s">
        <v>591</v>
      </c>
      <c r="B20" s="3" t="s">
        <v>592</v>
      </c>
      <c r="C20" s="2" t="s">
        <v>28</v>
      </c>
      <c r="D20" s="2" t="s">
        <v>20</v>
      </c>
      <c r="E20" s="2" t="n">
        <v>2</v>
      </c>
      <c r="F20" s="3" t="s">
        <v>593</v>
      </c>
    </row>
    <row r="21" customFormat="false" ht="35.05" hidden="false" customHeight="false" outlineLevel="0" collapsed="false">
      <c r="A21" s="2" t="s">
        <v>594</v>
      </c>
      <c r="B21" s="3" t="s">
        <v>595</v>
      </c>
      <c r="C21" s="2" t="s">
        <v>28</v>
      </c>
      <c r="D21" s="2" t="s">
        <v>20</v>
      </c>
      <c r="E21" s="2" t="n">
        <v>1</v>
      </c>
      <c r="F21" s="3" t="s">
        <v>196</v>
      </c>
    </row>
    <row r="22" customFormat="false" ht="46.25" hidden="false" customHeight="false" outlineLevel="0" collapsed="false">
      <c r="A22" s="2" t="s">
        <v>596</v>
      </c>
      <c r="B22" s="3" t="s">
        <v>597</v>
      </c>
      <c r="C22" s="2" t="s">
        <v>34</v>
      </c>
      <c r="D22" s="2" t="s">
        <v>20</v>
      </c>
      <c r="E22" s="2" t="n">
        <v>3</v>
      </c>
      <c r="F22" s="3" t="s">
        <v>598</v>
      </c>
    </row>
    <row r="23" customFormat="false" ht="35.05" hidden="false" customHeight="false" outlineLevel="0" collapsed="false">
      <c r="A23" s="2" t="s">
        <v>599</v>
      </c>
      <c r="B23" s="3" t="s">
        <v>600</v>
      </c>
      <c r="C23" s="2" t="s">
        <v>34</v>
      </c>
      <c r="D23" s="2" t="s">
        <v>20</v>
      </c>
      <c r="E23" s="2" t="n">
        <v>1</v>
      </c>
      <c r="F23" s="3" t="s">
        <v>388</v>
      </c>
    </row>
    <row r="24" customFormat="false" ht="46.25" hidden="false" customHeight="false" outlineLevel="0" collapsed="false">
      <c r="A24" s="12" t="s">
        <v>601</v>
      </c>
      <c r="B24" s="13" t="s">
        <v>602</v>
      </c>
      <c r="C24" s="12" t="s">
        <v>34</v>
      </c>
      <c r="D24" s="12" t="s">
        <v>20</v>
      </c>
      <c r="E24" s="12" t="n">
        <v>0</v>
      </c>
      <c r="F24" s="13" t="s">
        <v>603</v>
      </c>
    </row>
    <row r="25" customFormat="false" ht="35.05" hidden="false" customHeight="false" outlineLevel="0" collapsed="false">
      <c r="A25" s="2" t="s">
        <v>604</v>
      </c>
      <c r="B25" s="3" t="s">
        <v>605</v>
      </c>
      <c r="C25" s="2" t="s">
        <v>28</v>
      </c>
      <c r="D25" s="2" t="s">
        <v>20</v>
      </c>
      <c r="E25" s="2" t="n">
        <v>4</v>
      </c>
      <c r="F25" s="3" t="s">
        <v>606</v>
      </c>
    </row>
    <row r="26" customFormat="false" ht="46.25" hidden="false" customHeight="false" outlineLevel="0" collapsed="false">
      <c r="A26" s="2" t="s">
        <v>607</v>
      </c>
      <c r="B26" s="3" t="s">
        <v>608</v>
      </c>
      <c r="C26" s="2" t="s">
        <v>28</v>
      </c>
      <c r="D26" s="2" t="s">
        <v>20</v>
      </c>
      <c r="E26" s="2" t="n">
        <v>2</v>
      </c>
      <c r="F26" s="3" t="s">
        <v>609</v>
      </c>
    </row>
    <row r="27" customFormat="false" ht="46.25" hidden="false" customHeight="false" outlineLevel="0" collapsed="false">
      <c r="A27" s="4" t="s">
        <v>610</v>
      </c>
      <c r="B27" s="14" t="s">
        <v>611</v>
      </c>
      <c r="C27" s="4" t="s">
        <v>28</v>
      </c>
      <c r="D27" s="4" t="s">
        <v>20</v>
      </c>
      <c r="E27" s="4" t="n">
        <v>0</v>
      </c>
      <c r="F27" s="14" t="s">
        <v>612</v>
      </c>
    </row>
    <row r="28" customFormat="false" ht="46.25" hidden="false" customHeight="false" outlineLevel="0" collapsed="false">
      <c r="A28" s="2" t="s">
        <v>613</v>
      </c>
      <c r="B28" s="3" t="s">
        <v>614</v>
      </c>
      <c r="C28" s="2" t="s">
        <v>34</v>
      </c>
      <c r="D28" s="2" t="s">
        <v>20</v>
      </c>
      <c r="E28" s="2" t="n">
        <v>1</v>
      </c>
      <c r="F28" s="3" t="s">
        <v>391</v>
      </c>
    </row>
    <row r="29" customFormat="false" ht="35.05" hidden="false" customHeight="false" outlineLevel="0" collapsed="false">
      <c r="A29" s="2" t="s">
        <v>298</v>
      </c>
      <c r="B29" s="3" t="s">
        <v>615</v>
      </c>
      <c r="C29" s="2" t="s">
        <v>28</v>
      </c>
      <c r="D29" s="2" t="s">
        <v>20</v>
      </c>
      <c r="E29" s="2" t="n">
        <v>4</v>
      </c>
      <c r="F29" s="3" t="s">
        <v>616</v>
      </c>
    </row>
    <row r="30" customFormat="false" ht="35.05" hidden="false" customHeight="false" outlineLevel="0" collapsed="false">
      <c r="A30" s="2" t="s">
        <v>617</v>
      </c>
      <c r="B30" s="3" t="s">
        <v>618</v>
      </c>
      <c r="C30" s="2" t="s">
        <v>34</v>
      </c>
      <c r="D30" s="2" t="s">
        <v>20</v>
      </c>
      <c r="E30" s="2" t="n">
        <v>4</v>
      </c>
      <c r="F30" s="3" t="s">
        <v>619</v>
      </c>
    </row>
  </sheetData>
  <autoFilter ref="A1:F3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2026-10-18T04:53:58Z</dcterms:created>
  <dc:creator>openpyxl</dc:creator>
  <dc:description/>
  <dc:language>en-US</dc:language>
  <cp:lastModifiedBy/>
  <dcterms:modified xsi:type="dcterms:W3CDTF">2026-10-18T04:53:58Z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